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haalr\Desktop\"/>
    </mc:Choice>
  </mc:AlternateContent>
  <xr:revisionPtr revIDLastSave="0" documentId="13_ncr:1_{B892663A-FD72-4C34-84B2-DB10E3C049A0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Project Plan " sheetId="1" r:id="rId1"/>
    <sheet name="Breakdown expediture" sheetId="2" r:id="rId2"/>
    <sheet name="Quarterly financial" sheetId="3" r:id="rId3"/>
    <sheet name="Next Quarter Projection" sheetId="4" r:id="rId4"/>
    <sheet name="Bank and cash reconciliation" sheetId="5" r:id="rId5"/>
    <sheet name="Accumulated financial inf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37" i="3"/>
  <c r="D38" i="3"/>
  <c r="D39" i="3"/>
  <c r="D40" i="3"/>
  <c r="D41" i="3"/>
  <c r="D48" i="6" l="1"/>
  <c r="J173" i="2"/>
  <c r="J172" i="2"/>
  <c r="J171" i="2"/>
  <c r="J170" i="2"/>
  <c r="J169" i="2"/>
  <c r="J168" i="2"/>
  <c r="K167" i="2"/>
  <c r="K166" i="2"/>
  <c r="K165" i="2"/>
  <c r="J164" i="2"/>
  <c r="J163" i="2"/>
  <c r="J162" i="2"/>
  <c r="J161" i="2"/>
  <c r="J160" i="2"/>
  <c r="J159" i="2"/>
  <c r="K158" i="2"/>
  <c r="J157" i="2"/>
  <c r="J156" i="2"/>
  <c r="L155" i="2"/>
  <c r="H154" i="2"/>
  <c r="C34" i="3" s="1"/>
  <c r="J153" i="2"/>
  <c r="K152" i="2"/>
  <c r="L151" i="2"/>
  <c r="J150" i="2"/>
  <c r="J149" i="2"/>
  <c r="J148" i="2"/>
  <c r="I147" i="2"/>
  <c r="I146" i="2"/>
  <c r="L145" i="2"/>
  <c r="J144" i="2"/>
  <c r="L143" i="2"/>
  <c r="J142" i="2"/>
  <c r="J141" i="2"/>
  <c r="J140" i="2"/>
  <c r="J139" i="2"/>
  <c r="L138" i="2"/>
  <c r="L137" i="2"/>
  <c r="J136" i="2"/>
  <c r="J135" i="2"/>
  <c r="J134" i="2"/>
  <c r="J133" i="2"/>
  <c r="J132" i="2"/>
  <c r="J131" i="2"/>
  <c r="J130" i="2"/>
  <c r="L129" i="2"/>
  <c r="J128" i="2"/>
  <c r="J127" i="2"/>
  <c r="J126" i="2"/>
  <c r="L125" i="2"/>
  <c r="J124" i="2"/>
  <c r="J123" i="2"/>
  <c r="J122" i="2"/>
  <c r="J121" i="2"/>
  <c r="J120" i="2"/>
  <c r="J119" i="2"/>
  <c r="J118" i="2"/>
  <c r="L117" i="2"/>
  <c r="L116" i="2"/>
  <c r="J115" i="2"/>
  <c r="J114" i="2"/>
  <c r="I113" i="2"/>
  <c r="J112" i="2"/>
  <c r="J111" i="2"/>
  <c r="J110" i="2"/>
  <c r="J109" i="2"/>
  <c r="J108" i="2"/>
  <c r="J107" i="2"/>
  <c r="J106" i="2"/>
  <c r="J105" i="2"/>
  <c r="J104" i="2"/>
  <c r="L103" i="2"/>
  <c r="L102" i="2"/>
  <c r="L101" i="2"/>
  <c r="J100" i="2"/>
  <c r="J99" i="2"/>
  <c r="J98" i="2"/>
  <c r="L97" i="2"/>
  <c r="L96" i="2"/>
  <c r="J95" i="2"/>
  <c r="J94" i="2"/>
  <c r="L93" i="2"/>
  <c r="L92" i="2"/>
  <c r="J91" i="2"/>
  <c r="J90" i="2"/>
  <c r="J89" i="2"/>
  <c r="L88" i="2"/>
  <c r="H87" i="2"/>
  <c r="C31" i="3" s="1"/>
  <c r="C31" i="6" s="1"/>
  <c r="L86" i="2"/>
  <c r="J85" i="2"/>
  <c r="L84" i="2"/>
  <c r="L83" i="2"/>
  <c r="J82" i="2"/>
  <c r="K81" i="2"/>
  <c r="J80" i="2"/>
  <c r="L79" i="2"/>
  <c r="K78" i="2"/>
  <c r="J77" i="2"/>
  <c r="K76" i="2"/>
  <c r="K75" i="2"/>
  <c r="J74" i="2"/>
  <c r="J73" i="2"/>
  <c r="J72" i="2"/>
  <c r="J71" i="2"/>
  <c r="L70" i="2"/>
  <c r="K69" i="2"/>
  <c r="J68" i="2"/>
  <c r="K67" i="2"/>
  <c r="K66" i="2"/>
  <c r="J65" i="2"/>
  <c r="K64" i="2"/>
  <c r="J63" i="2"/>
  <c r="K62" i="2"/>
  <c r="K61" i="2"/>
  <c r="J60" i="2"/>
  <c r="J59" i="2"/>
  <c r="J58" i="2"/>
  <c r="J57" i="2"/>
  <c r="J56" i="2"/>
  <c r="K55" i="2"/>
  <c r="K54" i="2"/>
  <c r="J53" i="2"/>
  <c r="L52" i="2"/>
  <c r="L51" i="2"/>
  <c r="L50" i="2"/>
  <c r="I49" i="2"/>
  <c r="J48" i="2"/>
  <c r="K47" i="2"/>
  <c r="K46" i="2"/>
  <c r="K45" i="2"/>
  <c r="J44" i="2"/>
  <c r="J43" i="2"/>
  <c r="L42" i="2"/>
  <c r="J41" i="2"/>
  <c r="K40" i="2"/>
  <c r="J39" i="2"/>
  <c r="K38" i="2"/>
  <c r="K37" i="2"/>
  <c r="L36" i="2"/>
  <c r="J35" i="2"/>
  <c r="J34" i="2"/>
  <c r="J33" i="2"/>
  <c r="J32" i="2"/>
  <c r="L31" i="2"/>
  <c r="J30" i="2"/>
  <c r="L29" i="2"/>
  <c r="J28" i="2"/>
  <c r="J26" i="2"/>
  <c r="I27" i="2"/>
  <c r="L25" i="2"/>
  <c r="L24" i="2"/>
  <c r="J23" i="2"/>
  <c r="K22" i="2"/>
  <c r="L21" i="2"/>
  <c r="L20" i="2"/>
  <c r="K19" i="2"/>
  <c r="K18" i="2"/>
  <c r="K17" i="2"/>
  <c r="I16" i="2"/>
  <c r="J15" i="2"/>
  <c r="K14" i="2"/>
  <c r="J13" i="2"/>
  <c r="J12" i="2"/>
  <c r="K11" i="2"/>
  <c r="J10" i="2"/>
  <c r="K9" i="2"/>
  <c r="K8" i="2"/>
  <c r="J7" i="2"/>
  <c r="J6" i="2"/>
  <c r="J4" i="2"/>
  <c r="H5" i="2"/>
  <c r="C28" i="3" s="1"/>
  <c r="D28" i="3" s="1"/>
  <c r="E28" i="3" s="1"/>
  <c r="D60" i="6"/>
  <c r="D59" i="6"/>
  <c r="D58" i="6"/>
  <c r="D57" i="6"/>
  <c r="D53" i="6"/>
  <c r="D52" i="6"/>
  <c r="C51" i="6"/>
  <c r="B51" i="6"/>
  <c r="D47" i="6"/>
  <c r="D46" i="6"/>
  <c r="D45" i="6"/>
  <c r="C44" i="6"/>
  <c r="B44" i="6"/>
  <c r="B43" i="6"/>
  <c r="A43" i="6"/>
  <c r="B42" i="6"/>
  <c r="A42" i="6"/>
  <c r="D41" i="6"/>
  <c r="D38" i="6"/>
  <c r="C36" i="6"/>
  <c r="B36" i="6"/>
  <c r="A36" i="6"/>
  <c r="C35" i="6"/>
  <c r="B35" i="6"/>
  <c r="A35" i="6"/>
  <c r="B34" i="6"/>
  <c r="A34" i="6"/>
  <c r="C33" i="6"/>
  <c r="B33" i="6"/>
  <c r="A33" i="6"/>
  <c r="C32" i="6"/>
  <c r="B32" i="6"/>
  <c r="A32" i="6"/>
  <c r="B31" i="6"/>
  <c r="A31" i="6"/>
  <c r="C30" i="6"/>
  <c r="B30" i="6"/>
  <c r="A30" i="6"/>
  <c r="C29" i="6"/>
  <c r="B29" i="6"/>
  <c r="A29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D18" i="6"/>
  <c r="D14" i="6"/>
  <c r="D13" i="6"/>
  <c r="D12" i="6"/>
  <c r="D11" i="6"/>
  <c r="D10" i="6"/>
  <c r="D9" i="6"/>
  <c r="D8" i="6"/>
  <c r="D7" i="6"/>
  <c r="D6" i="6"/>
  <c r="B5" i="6"/>
  <c r="B15" i="6" s="1"/>
  <c r="B34" i="4"/>
  <c r="B32" i="4"/>
  <c r="B22" i="4"/>
  <c r="B11" i="4"/>
  <c r="B44" i="3"/>
  <c r="B40" i="6" s="1"/>
  <c r="B42" i="3"/>
  <c r="B37" i="6" s="1"/>
  <c r="D35" i="3"/>
  <c r="D33" i="3"/>
  <c r="D32" i="3"/>
  <c r="D30" i="3"/>
  <c r="D29" i="3"/>
  <c r="D27" i="3"/>
  <c r="D26" i="3"/>
  <c r="D25" i="3"/>
  <c r="D24" i="3"/>
  <c r="D23" i="3"/>
  <c r="D22" i="3"/>
  <c r="D21" i="3"/>
  <c r="D20" i="3"/>
  <c r="D19" i="3"/>
  <c r="B18" i="3"/>
  <c r="B17" i="6" s="1"/>
  <c r="B16" i="3"/>
  <c r="D15" i="3"/>
  <c r="D14" i="3"/>
  <c r="D13" i="3"/>
  <c r="D12" i="3"/>
  <c r="E174" i="2"/>
  <c r="N38" i="1"/>
  <c r="O37" i="1"/>
  <c r="N37" i="1"/>
  <c r="M37" i="1"/>
  <c r="L37" i="1"/>
  <c r="P36" i="1"/>
  <c r="P37" i="1" s="1"/>
  <c r="O35" i="1"/>
  <c r="N35" i="1"/>
  <c r="M35" i="1"/>
  <c r="L35" i="1"/>
  <c r="P32" i="1"/>
  <c r="P29" i="1"/>
  <c r="P26" i="1"/>
  <c r="P35" i="1" s="1"/>
  <c r="O25" i="1"/>
  <c r="N25" i="1"/>
  <c r="M25" i="1"/>
  <c r="L25" i="1"/>
  <c r="P25" i="1" s="1"/>
  <c r="P22" i="1"/>
  <c r="P19" i="1"/>
  <c r="P17" i="1"/>
  <c r="P16" i="1"/>
  <c r="P15" i="1"/>
  <c r="P14" i="1"/>
  <c r="P13" i="1"/>
  <c r="P12" i="1"/>
  <c r="O12" i="1"/>
  <c r="N12" i="1"/>
  <c r="M12" i="1"/>
  <c r="L12" i="1"/>
  <c r="P9" i="1"/>
  <c r="P7" i="1"/>
  <c r="O6" i="1"/>
  <c r="O38" i="1" s="1"/>
  <c r="N6" i="1"/>
  <c r="M6" i="1"/>
  <c r="M38" i="1" s="1"/>
  <c r="L6" i="1"/>
  <c r="L38" i="1" s="1"/>
  <c r="P4" i="1"/>
  <c r="P6" i="1" s="1"/>
  <c r="J174" i="2" l="1"/>
  <c r="L174" i="2"/>
  <c r="K174" i="2"/>
  <c r="I174" i="2"/>
  <c r="C43" i="3" s="1"/>
  <c r="C42" i="3" s="1"/>
  <c r="C37" i="6" s="1"/>
  <c r="D37" i="6" s="1"/>
  <c r="E37" i="6" s="1"/>
  <c r="C34" i="6"/>
  <c r="D34" i="3"/>
  <c r="E34" i="3" s="1"/>
  <c r="H174" i="2"/>
  <c r="D31" i="6"/>
  <c r="E31" i="6" s="1"/>
  <c r="D34" i="6"/>
  <c r="E34" i="6" s="1"/>
  <c r="D44" i="6"/>
  <c r="D51" i="6"/>
  <c r="B17" i="3"/>
  <c r="B16" i="6" s="1"/>
  <c r="D30" i="6"/>
  <c r="C18" i="3"/>
  <c r="C46" i="3"/>
  <c r="C43" i="6" s="1"/>
  <c r="D43" i="6" s="1"/>
  <c r="E43" i="6" s="1"/>
  <c r="C45" i="3" a="1"/>
  <c r="C45" i="3" s="1"/>
  <c r="C42" i="6" s="1"/>
  <c r="D42" i="6" s="1"/>
  <c r="E42" i="6" s="1"/>
  <c r="D31" i="3"/>
  <c r="E31" i="3" s="1"/>
  <c r="C28" i="6"/>
  <c r="D28" i="6" s="1"/>
  <c r="E28" i="6" s="1"/>
  <c r="D19" i="6"/>
  <c r="P38" i="1"/>
  <c r="D42" i="1" s="1"/>
  <c r="D44" i="1" s="1"/>
  <c r="B54" i="6"/>
  <c r="B61" i="6" s="1"/>
  <c r="B50" i="3" l="1"/>
  <c r="C39" i="6"/>
  <c r="D39" i="6" s="1"/>
  <c r="D43" i="3"/>
  <c r="E43" i="3" s="1"/>
  <c r="C17" i="6"/>
  <c r="D17" i="6" s="1"/>
  <c r="E17" i="6" s="1"/>
  <c r="D18" i="3"/>
  <c r="E18" i="3" s="1"/>
  <c r="D46" i="3"/>
  <c r="D45" i="3"/>
  <c r="C44" i="3"/>
  <c r="C40" i="6" s="1"/>
  <c r="D42" i="3" l="1"/>
  <c r="E42" i="3" s="1"/>
  <c r="E45" i="3"/>
  <c r="B30" i="4"/>
  <c r="C17" i="3"/>
  <c r="E46" i="3"/>
  <c r="B31" i="4"/>
  <c r="C50" i="3"/>
  <c r="C51" i="3" s="1"/>
  <c r="B7" i="4" s="1"/>
  <c r="B9" i="4" s="1"/>
  <c r="D40" i="6"/>
  <c r="E40" i="6" s="1"/>
  <c r="D44" i="3"/>
  <c r="D50" i="3" s="1"/>
  <c r="E50" i="3" s="1"/>
  <c r="C9" i="5" l="1"/>
  <c r="C10" i="5" s="1"/>
  <c r="C13" i="5" s="1"/>
  <c r="B29" i="4"/>
  <c r="C54" i="6"/>
  <c r="C61" i="6" s="1"/>
  <c r="C62" i="6" s="1"/>
  <c r="C16" i="6"/>
  <c r="D17" i="3"/>
  <c r="C16" i="3"/>
  <c r="C11" i="3" s="1"/>
  <c r="D54" i="6"/>
  <c r="D61" i="6" s="1"/>
  <c r="E61" i="6" s="1"/>
  <c r="D11" i="3" l="1"/>
  <c r="E11" i="3" s="1"/>
  <c r="C5" i="6"/>
  <c r="D5" i="6" s="1"/>
  <c r="E5" i="6" s="1"/>
  <c r="D16" i="3"/>
  <c r="E16" i="3" s="1"/>
  <c r="C15" i="6"/>
  <c r="D15" i="6" s="1"/>
  <c r="E15" i="6" s="1"/>
  <c r="B10" i="4"/>
  <c r="B40" i="4"/>
  <c r="B41" i="4" s="1"/>
  <c r="E5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<sst xmlns="http://schemas.openxmlformats.org/spreadsheetml/2006/main" count="1087" uniqueCount="502">
  <si>
    <t>Milestone</t>
  </si>
  <si>
    <t xml:space="preserve">Work Package </t>
  </si>
  <si>
    <t>Objective</t>
  </si>
  <si>
    <t xml:space="preserve">Activities </t>
  </si>
  <si>
    <t>Deliverables</t>
  </si>
  <si>
    <t xml:space="preserve">Format of Deliverable </t>
  </si>
  <si>
    <t>Timeframe</t>
  </si>
  <si>
    <t>Year 1 Budget incl. VAT</t>
  </si>
  <si>
    <t>TOTAL</t>
  </si>
  <si>
    <t>No.</t>
  </si>
  <si>
    <t>Details</t>
  </si>
  <si>
    <t>Start (Month)</t>
  </si>
  <si>
    <t>End (Month)</t>
  </si>
  <si>
    <t>Duration</t>
  </si>
  <si>
    <t xml:space="preserve">Quarter 1 </t>
  </si>
  <si>
    <t>Quarter 2</t>
  </si>
  <si>
    <t>Quarter 3</t>
  </si>
  <si>
    <t>Quarter 4</t>
  </si>
  <si>
    <t xml:space="preserve">1. Initiation </t>
  </si>
  <si>
    <t xml:space="preserve">1.1. Project Legal &amp; Administration </t>
  </si>
  <si>
    <t xml:space="preserve">To ensure project management and legal &amp; administration requirements are in place for the successful implementation of the project  </t>
  </si>
  <si>
    <t>1.1.1</t>
  </si>
  <si>
    <t xml:space="preserve">Understand project objectives, scope, and deliverables.
</t>
  </si>
  <si>
    <t xml:space="preserve">Completed project proposal
</t>
  </si>
  <si>
    <t xml:space="preserve">PDF </t>
  </si>
  <si>
    <t>Month 1</t>
  </si>
  <si>
    <t>1 Month</t>
  </si>
  <si>
    <t>1.1.2</t>
  </si>
  <si>
    <t>Ensure all project related contracts are in place for the project</t>
  </si>
  <si>
    <t>Signed Contracts</t>
  </si>
  <si>
    <t>Sub-Total 1</t>
  </si>
  <si>
    <t xml:space="preserve">2. Planning </t>
  </si>
  <si>
    <t>2.1 Project Planning</t>
  </si>
  <si>
    <t>Establish a clear, legally binding framework for the project, ensuring collaboration and understanding between all parties.</t>
  </si>
  <si>
    <t>2.2.1</t>
  </si>
  <si>
    <t>Develop Project Execution Plan in consultation with TIA Specialits</t>
  </si>
  <si>
    <t>Project Execution Document</t>
  </si>
  <si>
    <t>PDF</t>
  </si>
  <si>
    <t>2.2.2</t>
  </si>
  <si>
    <t>Host Project kick off meeting  to ensure all relevant  stakholders understand how the project will be implemented</t>
  </si>
  <si>
    <t xml:space="preserve">2.2. Business Sustainability Model </t>
  </si>
  <si>
    <t xml:space="preserve">To build a business sustainability model that aims to reduce dependence on government support for the technology in the future. </t>
  </si>
  <si>
    <t>2.2.3</t>
  </si>
  <si>
    <t>Develop a stakholder map to identifiy funding sources and potential partners for Umhlatuze</t>
  </si>
  <si>
    <t xml:space="preserve">Stakeholder map including funding sources </t>
  </si>
  <si>
    <t>Month 2</t>
  </si>
  <si>
    <t>12 Months</t>
  </si>
  <si>
    <t>2.2.4</t>
  </si>
  <si>
    <t>Develop a business sustainability model for Sisanda App Universe</t>
  </si>
  <si>
    <t xml:space="preserve">Business sustainability model </t>
  </si>
  <si>
    <t>Month 3</t>
  </si>
  <si>
    <t>Month 9</t>
  </si>
  <si>
    <t>2.2.5</t>
  </si>
  <si>
    <t>Source funding proposals to support the sustainability of Sisanda App Universe beyond the duration of this project at Umhlathuze</t>
  </si>
  <si>
    <t>3 Funding Proposals</t>
  </si>
  <si>
    <t xml:space="preserve">Month 9 </t>
  </si>
  <si>
    <t>Month 12</t>
  </si>
  <si>
    <t>Sub-Total 2</t>
  </si>
  <si>
    <t>3. Execution (Deployment)</t>
  </si>
  <si>
    <t xml:space="preserve">3.1. Deployment Readiness </t>
  </si>
  <si>
    <t>To prepare for deployment of the Sisanda App at all selcted schools</t>
  </si>
  <si>
    <t>3.1.1</t>
  </si>
  <si>
    <t>Identify and finalize product sites</t>
  </si>
  <si>
    <t>Finalized list of sites signed off by City of uMhlathuze</t>
  </si>
  <si>
    <t>1 Week</t>
  </si>
  <si>
    <t>3.1.2</t>
  </si>
  <si>
    <t xml:space="preserve">Address any potential gaps that might impact project implementation. </t>
  </si>
  <si>
    <t>Updated Risk Register</t>
  </si>
  <si>
    <t>Excel Sheet</t>
  </si>
  <si>
    <t>2 Week</t>
  </si>
  <si>
    <t>3.1.3</t>
  </si>
  <si>
    <t xml:space="preserve">Procure and deliver of 165 tablets  to  the selected schools
</t>
  </si>
  <si>
    <t>Invoice and Delivery Notes.</t>
  </si>
  <si>
    <t>3.1.4</t>
  </si>
  <si>
    <t>Purchase  school Licences</t>
  </si>
  <si>
    <t xml:space="preserve">Proof of payment of licenses </t>
  </si>
  <si>
    <t>.xsl</t>
  </si>
  <si>
    <t>3.1.5</t>
  </si>
  <si>
    <t>Install the app on tablets for all participating schools.</t>
  </si>
  <si>
    <t xml:space="preserve">Successful installation test report for all devices 
</t>
  </si>
  <si>
    <t>.apk</t>
  </si>
  <si>
    <t>3.1.6</t>
  </si>
  <si>
    <t xml:space="preserve">Conduct quality assurance checks to ensure optimal app performance of the app on all devices </t>
  </si>
  <si>
    <t xml:space="preserve">Quality Assurance  Report </t>
  </si>
  <si>
    <t xml:space="preserve">3..2 Training </t>
  </si>
  <si>
    <t>To Equip teachers and IT staff with the skills to use the app effectively.</t>
  </si>
  <si>
    <t>3.2..1</t>
  </si>
  <si>
    <t>Schdeule training sessions for teachers and IT staff.</t>
  </si>
  <si>
    <t>Scanned Attendance Register and Training Report</t>
  </si>
  <si>
    <t>3.2..2</t>
  </si>
  <si>
    <t>Conduct hands-on demonstration sessions.</t>
  </si>
  <si>
    <t>Website Page</t>
  </si>
  <si>
    <t>3.2..3</t>
  </si>
  <si>
    <t>Update and distribute user manuals and FAQs.</t>
  </si>
  <si>
    <t>Proof of updated manuals and distribution lsists</t>
  </si>
  <si>
    <t>Printed Manuals</t>
  </si>
  <si>
    <t xml:space="preserve">3.3 Deployment
</t>
  </si>
  <si>
    <t>To successfully roll out the app across the selected designated schools.</t>
  </si>
  <si>
    <t>3.3.1</t>
  </si>
  <si>
    <t>Distribute tablets to the schools.</t>
  </si>
  <si>
    <t>Signed delivery notes</t>
  </si>
  <si>
    <t>8 Month</t>
  </si>
  <si>
    <t>3.3.2</t>
  </si>
  <si>
    <t>Provide delivery notes for teachers or school management to sign, confirming delivery.</t>
  </si>
  <si>
    <t>3.3.3</t>
  </si>
  <si>
    <t>Provide on-site support during the initial days of implementation.</t>
  </si>
  <si>
    <t>Sub-Total 3</t>
  </si>
  <si>
    <t>4. Support, Monitoring and Evaluation</t>
  </si>
  <si>
    <t>4.1.Monitoring and Support</t>
  </si>
  <si>
    <t>To ensure smooth app operation and address any arising issues.</t>
  </si>
  <si>
    <t>4.1.1</t>
  </si>
  <si>
    <t xml:space="preserve">Establish a helpline or support portal for schools to report issues or seek assistance.
</t>
  </si>
  <si>
    <t xml:space="preserve">Support portal
</t>
  </si>
  <si>
    <t>Online Portal</t>
  </si>
  <si>
    <t>9 Month</t>
  </si>
  <si>
    <t>4.1.2</t>
  </si>
  <si>
    <t xml:space="preserve">Monitor app usage, performance, and gather user feedback.
</t>
  </si>
  <si>
    <t>Monthly monitoring reports</t>
  </si>
  <si>
    <t>4.1.3</t>
  </si>
  <si>
    <t>Provide any and all required updates to the Sisanda App.</t>
  </si>
  <si>
    <t>Update Reports</t>
  </si>
  <si>
    <t>APK</t>
  </si>
  <si>
    <t>4.2. Feedback Collection</t>
  </si>
  <si>
    <t>To assess user experience and identify areas for improvement.</t>
  </si>
  <si>
    <t xml:space="preserve">4.2.1 </t>
  </si>
  <si>
    <t xml:space="preserve">Conduct surveys or focus group discussions with teachers and students.
</t>
  </si>
  <si>
    <t xml:space="preserve">Feedback reports from users </t>
  </si>
  <si>
    <t>4.2.2</t>
  </si>
  <si>
    <t xml:space="preserve">Analyze feedback to discern trends, challenges, or suggestions.
</t>
  </si>
  <si>
    <t>4.2.3</t>
  </si>
  <si>
    <t>Plan enhancements based on the feedback received.</t>
  </si>
  <si>
    <t>Update Product roadmap</t>
  </si>
  <si>
    <t xml:space="preserve">Trello </t>
  </si>
  <si>
    <t>4.3.Continuous Improvement</t>
  </si>
  <si>
    <t>To ensure the app's continued relevance and efficacy.</t>
  </si>
  <si>
    <t>4.3.1</t>
  </si>
  <si>
    <t>Release updates or patches based on feedback and technological advancements.</t>
  </si>
  <si>
    <t xml:space="preserve">Updated app versions
</t>
  </si>
  <si>
    <t>4.3.2</t>
  </si>
  <si>
    <t xml:space="preserve">Schedule  refresher training sessions on any new features added to the app
 </t>
  </si>
  <si>
    <t xml:space="preserve">Training sessions for new features </t>
  </si>
  <si>
    <t>PDF and Support page</t>
  </si>
  <si>
    <t>4.3.3</t>
  </si>
  <si>
    <t xml:space="preserve">Engage with schools for sustained collaboration and improvement. </t>
  </si>
  <si>
    <t>Feedback reports</t>
  </si>
  <si>
    <t>Sub-Total 4</t>
  </si>
  <si>
    <t xml:space="preserve">5. Closure </t>
  </si>
  <si>
    <t>5.1.Project Review and Reporting</t>
  </si>
  <si>
    <t xml:space="preserve">Conclude the implementation phase and transition to regular operations.
</t>
  </si>
  <si>
    <t>5.1.1</t>
  </si>
  <si>
    <t xml:space="preserve">Document the implementation process, challenges encountered, and lessons learned.
</t>
  </si>
  <si>
    <t>Final project  close out eport</t>
  </si>
  <si>
    <t>Month 10</t>
  </si>
  <si>
    <t>2 Month</t>
  </si>
  <si>
    <t>Sub-Total 5</t>
  </si>
  <si>
    <t xml:space="preserve">Grand Total (Sub-Total 1 +2+3+4+5) </t>
  </si>
  <si>
    <t xml:space="preserve">Disbursement Schedule </t>
  </si>
  <si>
    <t>Disbursement 1 (30%)</t>
  </si>
  <si>
    <t>Disbursement 2 (50%)</t>
  </si>
  <si>
    <t>Disbursement 3 (20%)</t>
  </si>
  <si>
    <t>Sisanda.com</t>
  </si>
  <si>
    <t>INVOICES</t>
  </si>
  <si>
    <t>LABOUR</t>
  </si>
  <si>
    <t>OPERATIONAL COST:</t>
  </si>
  <si>
    <t>CAPITAL EQUIPMENT</t>
  </si>
  <si>
    <t>nr</t>
  </si>
  <si>
    <t>Date</t>
  </si>
  <si>
    <t>Name of Company</t>
  </si>
  <si>
    <t xml:space="preserve">Description </t>
  </si>
  <si>
    <t xml:space="preserve">Invoice </t>
  </si>
  <si>
    <t>Link for invoice</t>
  </si>
  <si>
    <t>Link for POP</t>
  </si>
  <si>
    <t>Personnel</t>
  </si>
  <si>
    <t>Overheads/Admin/ Bank Charge</t>
  </si>
  <si>
    <t>Procure and deliver of 165 tablets  to  the selected schools</t>
  </si>
  <si>
    <t>23-Feb-2024</t>
  </si>
  <si>
    <t>FNB App Prepaid Airtime 27631707952</t>
  </si>
  <si>
    <t>Airtime</t>
  </si>
  <si>
    <t>As Per Bank Statement</t>
  </si>
  <si>
    <t>Salary Contracts</t>
  </si>
  <si>
    <t>https://drive.google.com/file/d/17ZrGKJxsQAJ4TKUtzxKRohzbZU8BRphe/view?usp=drive_link</t>
  </si>
  <si>
    <t xml:space="preserve">POS Purchase 109.99 Canva* I0406
</t>
  </si>
  <si>
    <t>Subscription for the standard used</t>
  </si>
  <si>
    <t>POS Purchase 109.99 Google *Yout</t>
  </si>
  <si>
    <t>24-Feb-2024</t>
  </si>
  <si>
    <t xml:space="preserve">Food </t>
  </si>
  <si>
    <t>POS Purchase Shoprite Botshabelo</t>
  </si>
  <si>
    <t>26-Feb-2024</t>
  </si>
  <si>
    <t>POS Purchase Payfast African Tech</t>
  </si>
  <si>
    <t>VR Headset</t>
  </si>
  <si>
    <t>Subcription for the storage</t>
  </si>
  <si>
    <t>27-Feb-2024</t>
  </si>
  <si>
    <t>POS Purchase 52.99 Google Storag</t>
  </si>
  <si>
    <t>Fuel Purchase Tshela Filling Stat</t>
  </si>
  <si>
    <t>Petrol</t>
  </si>
  <si>
    <t>28-Feb-2024</t>
  </si>
  <si>
    <t>Internet Pmt To 23107Arcatamabaso</t>
  </si>
  <si>
    <t>Rent Deposit</t>
  </si>
  <si>
    <t>POS Purchase PNP Crp Botshabelo</t>
  </si>
  <si>
    <t xml:space="preserve">Office Breakfast </t>
  </si>
  <si>
    <t>POS Purchase Yoco *Design N Pr</t>
  </si>
  <si>
    <t>Flash drive and Printing</t>
  </si>
  <si>
    <t>POS Purchase 194.64 Facebk *Vcrx</t>
  </si>
  <si>
    <t>Facebook Paid AD</t>
  </si>
  <si>
    <t>Fuel Purchase Shell Botshabelo</t>
  </si>
  <si>
    <t>29-Feb-2024</t>
  </si>
  <si>
    <t xml:space="preserve">Send Money App Dr Send </t>
  </si>
  <si>
    <t>Tutor / User Tester</t>
  </si>
  <si>
    <t>POS Purchase Istore Loch Logan</t>
  </si>
  <si>
    <t>Hardware and testing devices</t>
  </si>
  <si>
    <t>01-Mar-2024</t>
  </si>
  <si>
    <t>Internal Debit Order FNB Insure 2631760 F64241</t>
  </si>
  <si>
    <t xml:space="preserve">FNB Insurance for business </t>
  </si>
  <si>
    <t>Magtape Debit Iclix 265727214 Netcash</t>
  </si>
  <si>
    <t>Subscription for the standard use(Internet)</t>
  </si>
  <si>
    <t>POS Purchase PNA Northridge Mall</t>
  </si>
  <si>
    <t>Text Books for content creation</t>
  </si>
  <si>
    <t>POS Purchase Bargain Books North</t>
  </si>
  <si>
    <t>POS Purchase 18.53 Cloud Vhj4Xp</t>
  </si>
  <si>
    <t>Bank Charges Feb</t>
  </si>
  <si>
    <t>February Bank Charges</t>
  </si>
  <si>
    <t>04-Mar-2024</t>
  </si>
  <si>
    <t xml:space="preserve">FNB App Prepaid Airtime </t>
  </si>
  <si>
    <t>Internet Pmt To Sgs-Neo-Makaye</t>
  </si>
  <si>
    <t>POS Purchase Afrihost Com 3</t>
  </si>
  <si>
    <t>POS Purchase 5.00 Fetway Investm</t>
  </si>
  <si>
    <t>Digital assets for project</t>
  </si>
  <si>
    <t>POS Purchase 10.03 Google*Cloud</t>
  </si>
  <si>
    <t>05-Mar-2024</t>
  </si>
  <si>
    <t xml:space="preserve">Electricity Prepaid Electricity </t>
  </si>
  <si>
    <t>Prepaid Electricity</t>
  </si>
  <si>
    <t>Internet Pmt To Sgs-Lungile</t>
  </si>
  <si>
    <t>POS Purchase Engen Mangaung 1 St</t>
  </si>
  <si>
    <t>POS Purchase Wimpy JHB Int Airp</t>
  </si>
  <si>
    <t>06-Mar-2024</t>
  </si>
  <si>
    <t>POS Purchase 59.99 Apple.Com/Bil</t>
  </si>
  <si>
    <t>07-Mar-2024</t>
  </si>
  <si>
    <t>08-Mar-2024</t>
  </si>
  <si>
    <t>FNB App Prepaid Airtime</t>
  </si>
  <si>
    <t>Aitime</t>
  </si>
  <si>
    <t xml:space="preserve">Send Money App Dr </t>
  </si>
  <si>
    <t>Electricity</t>
  </si>
  <si>
    <t>POS Purchase S2S*Moiponesupermak</t>
  </si>
  <si>
    <t>09-Mar-2024</t>
  </si>
  <si>
    <t>POS Purchase Sasol Technikon</t>
  </si>
  <si>
    <t>POS Purchase Mcd Bloemfontein</t>
  </si>
  <si>
    <t>11-Mar-2024</t>
  </si>
  <si>
    <t xml:space="preserve">Card Replacement </t>
  </si>
  <si>
    <t>New Bank Card</t>
  </si>
  <si>
    <t>POS Purchase S2S*Willowssupermar</t>
  </si>
  <si>
    <t>POS Purchase Shell Gysie Pienaar</t>
  </si>
  <si>
    <t>POS Purchase Stadium Mandela Vie</t>
  </si>
  <si>
    <t>POS Purchase Game Bloemfontein</t>
  </si>
  <si>
    <t xml:space="preserve">Office equipment </t>
  </si>
  <si>
    <t>POS Purchase Gbc Petroleum Pty L</t>
  </si>
  <si>
    <t>Fuel Purchase Mandela View Motors</t>
  </si>
  <si>
    <t>12-Mar-2024</t>
  </si>
  <si>
    <t>POS Purchase Yoco *Arcata Squa</t>
  </si>
  <si>
    <t>POS Purchase Makro Bloemfontein</t>
  </si>
  <si>
    <t>13-Mar-2024</t>
  </si>
  <si>
    <t xml:space="preserve">Sample Tablets </t>
  </si>
  <si>
    <t>14-Mar-2024</t>
  </si>
  <si>
    <t>15-Mar-2024</t>
  </si>
  <si>
    <t>POS Purchase Engen Curie Park Qu</t>
  </si>
  <si>
    <t>POS Purchase Bwh Bloemfontein</t>
  </si>
  <si>
    <t>POS Purchase 15.00 Bankstatement</t>
  </si>
  <si>
    <t>Subscription for Standards use</t>
  </si>
  <si>
    <t>16-Mar-2024</t>
  </si>
  <si>
    <t>POS Purchase Ae Zastron Str</t>
  </si>
  <si>
    <t xml:space="preserve">Purchase school Licences </t>
  </si>
  <si>
    <t>18-Mar-2024</t>
  </si>
  <si>
    <t>19-Mar-2024</t>
  </si>
  <si>
    <t>POS Purchase Chicken Licken Heid</t>
  </si>
  <si>
    <t>POS Purchase Superspar Aljos</t>
  </si>
  <si>
    <t xml:space="preserve">food </t>
  </si>
  <si>
    <t>20-Mar-2024</t>
  </si>
  <si>
    <t>POS Purchase Starbucks Fx Mimosa</t>
  </si>
  <si>
    <t>Fuel Purchase Ae Zastron Str</t>
  </si>
  <si>
    <t>22-Mar-2024</t>
  </si>
  <si>
    <t>Internet pmt to Makro-Tablets-40</t>
  </si>
  <si>
    <t>Procure and deliver of 165 tablets to the selected schools(Purchased 40 out of 165)</t>
  </si>
  <si>
    <t>POS Purchase 3.45 Patreon* Membe</t>
  </si>
  <si>
    <t>23-Mar-2024</t>
  </si>
  <si>
    <t>Internet Trf To Sisanda Tech</t>
  </si>
  <si>
    <t>https://drive.google.com/file/d/1rHCW3M-RDxL2_y-eoMklQJXRwQye6Tb3/view?usp=drive_link</t>
  </si>
  <si>
    <t xml:space="preserve">FNB App Transfer </t>
  </si>
  <si>
    <t>POS Purchase Belvera Supermarket</t>
  </si>
  <si>
    <t>25-Mar-2024</t>
  </si>
  <si>
    <t>26-Mar-2024</t>
  </si>
  <si>
    <t>27-Mar-2024</t>
  </si>
  <si>
    <t>POS Purchase 52.99 Google *Googl</t>
  </si>
  <si>
    <t>Subscription for Storage</t>
  </si>
  <si>
    <t>02-Apr-2024</t>
  </si>
  <si>
    <t xml:space="preserve">Rent </t>
  </si>
  <si>
    <t>Internet Pmt To Kajane Sl</t>
  </si>
  <si>
    <t xml:space="preserve">Internal Debit Order FNB Insure </t>
  </si>
  <si>
    <t>Magtape Debit Iclix 270026400 Netcash</t>
  </si>
  <si>
    <t>Subscriptions for standard use(internet)</t>
  </si>
  <si>
    <t>POS Purchase Paystack *Xero S</t>
  </si>
  <si>
    <t>Subscriptions for standard use</t>
  </si>
  <si>
    <t>POS Purchase 109.99 Canva* I0410</t>
  </si>
  <si>
    <t>03-Apr-2024</t>
  </si>
  <si>
    <t>Magtape Debit Afrihost A16503250 Dmptcvc</t>
  </si>
  <si>
    <t>Bank Charges March</t>
  </si>
  <si>
    <t>04-Apr-2024</t>
  </si>
  <si>
    <t>POS Purchase PNP Crp Bloemgate</t>
  </si>
  <si>
    <t>05-Apr-2024</t>
  </si>
  <si>
    <t>06-Apr-2024</t>
  </si>
  <si>
    <t>POS Purchase KFC Bloemfontein</t>
  </si>
  <si>
    <t>08-Apr-2024</t>
  </si>
  <si>
    <t>09-Apr-2024</t>
  </si>
  <si>
    <t>FNB App Transfer</t>
  </si>
  <si>
    <t>10-Apr-2024</t>
  </si>
  <si>
    <t>11-Apr-2024</t>
  </si>
  <si>
    <t>FNB App Transfer To Office Equipment Mak</t>
  </si>
  <si>
    <t>13-Apr-2024</t>
  </si>
  <si>
    <t>15-Apr-2024</t>
  </si>
  <si>
    <t>POS Purchase Pf Vuma* Afrihost</t>
  </si>
  <si>
    <t>FNB App Transfer To Lunch</t>
  </si>
  <si>
    <t>16-Apr-2024</t>
  </si>
  <si>
    <t>POS Purchase Tshela Filling Stat</t>
  </si>
  <si>
    <t>Fuel Purchase Shell Gysie Pienaar</t>
  </si>
  <si>
    <t>17-Apr-2024</t>
  </si>
  <si>
    <t>Subscription for standard use</t>
  </si>
  <si>
    <t>Send Money App Dr</t>
  </si>
  <si>
    <t>22-Apr-2024</t>
  </si>
  <si>
    <t>Subscription for Standard use</t>
  </si>
  <si>
    <t>Fuel Purchase Engen Mangaung 1 St</t>
  </si>
  <si>
    <t>23-Apr-2024</t>
  </si>
  <si>
    <t>Internet Pmt To Sarseflng 0082478171</t>
  </si>
  <si>
    <t>Sars Filling</t>
  </si>
  <si>
    <t>Internet Pmt To Sarseflng 0082478385</t>
  </si>
  <si>
    <t>26-Apr-2024</t>
  </si>
  <si>
    <t>POS Purchase Cash Crusaders</t>
  </si>
  <si>
    <t>29-Apr-2024</t>
  </si>
  <si>
    <t>POS Purchase Emma Booysen Photog</t>
  </si>
  <si>
    <t>Photography</t>
  </si>
  <si>
    <t>Subscription for Standard Use</t>
  </si>
  <si>
    <t>30-Apr-2024</t>
  </si>
  <si>
    <t>Internet Trf To Basosalary</t>
  </si>
  <si>
    <t>https://drive.google.com/file/d/1qVQtyr7AXdiVotWmxgNo4LdfyX6nrc14/view?usp=sharing</t>
  </si>
  <si>
    <t xml:space="preserve">Magtape Debit Iclix </t>
  </si>
  <si>
    <t>02-May-2024</t>
  </si>
  <si>
    <t>Send Money App</t>
  </si>
  <si>
    <t>Internal Debit Order FNB Insure</t>
  </si>
  <si>
    <t>Magtape Debit Afrihost</t>
  </si>
  <si>
    <t>POS Purchase 109.99 Canva* I0413</t>
  </si>
  <si>
    <t>04-May-2024</t>
  </si>
  <si>
    <t>06-May-2024</t>
  </si>
  <si>
    <t>POS Purchase 34.50 Cgtrader</t>
  </si>
  <si>
    <t>07-May-2024</t>
  </si>
  <si>
    <t>11-May-2024</t>
  </si>
  <si>
    <t>POS Purchase 25.00 Unity</t>
  </si>
  <si>
    <t>14-May-2024</t>
  </si>
  <si>
    <t>16-May-2024</t>
  </si>
  <si>
    <t>Card Purchase With Cashback Superspar Aljos</t>
  </si>
  <si>
    <t>Card Cashback Cashb Superspar Aljo</t>
  </si>
  <si>
    <t>POS Purchase Sps B</t>
  </si>
  <si>
    <t>18-May-2024</t>
  </si>
  <si>
    <t xml:space="preserve">DETAILED  EXPENSE REPORT - QUARTERLY </t>
  </si>
  <si>
    <t>Name of Institution:</t>
  </si>
  <si>
    <t>Current Reporting Period:</t>
  </si>
  <si>
    <t>Jan - March 2024</t>
  </si>
  <si>
    <t xml:space="preserve">Agreement Period: </t>
  </si>
  <si>
    <t>Agreement No:</t>
  </si>
  <si>
    <t>Invoice Number:</t>
  </si>
  <si>
    <t>Budget for Quarter</t>
  </si>
  <si>
    <t>Actual for Quarter</t>
  </si>
  <si>
    <t>Variance</t>
  </si>
  <si>
    <t>% Variance</t>
  </si>
  <si>
    <t>Reasons for variances</t>
  </si>
  <si>
    <t>Comments</t>
  </si>
  <si>
    <t>INCOME</t>
  </si>
  <si>
    <t>(For all income= Actual for the quarter less budget for the quarter)</t>
  </si>
  <si>
    <t>(% variance= variance/actual for the quarter)</t>
  </si>
  <si>
    <t>(All reasons for variances can be detailed on the page below; you can also include any further notes)</t>
  </si>
  <si>
    <t>For any expenditure over R100k, please provide details in the form of notes linked to the project activity</t>
  </si>
  <si>
    <t>TIA Funding received/budgeted in the quarter</t>
  </si>
  <si>
    <t>Other Income:</t>
  </si>
  <si>
    <t>Interest</t>
  </si>
  <si>
    <t>VAT refund</t>
  </si>
  <si>
    <t>etc.</t>
  </si>
  <si>
    <t>GRAND TOTAL INCOME</t>
  </si>
  <si>
    <t>(% variance= variance/budget for the quarter)</t>
  </si>
  <si>
    <t>(For all expenses= Budget for the quarter less actual for the quarter)</t>
  </si>
  <si>
    <t>PERSONNEL COSTS:</t>
  </si>
  <si>
    <t>CAPITAL EQUIPMENT:</t>
  </si>
  <si>
    <t>(all consultants used should be disclosed individually)</t>
  </si>
  <si>
    <t>CONSUMABLES:</t>
  </si>
  <si>
    <t>GRAND TOTAL EXPENDITURE: :</t>
  </si>
  <si>
    <t>SURPLUS/(DEFICIT)</t>
  </si>
  <si>
    <r>
      <rPr>
        <b/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Grand Total Income less Grand Total Expenditure)</t>
    </r>
  </si>
  <si>
    <r>
      <rPr>
        <b/>
        <sz val="10"/>
        <color theme="1"/>
        <rFont val="Arial"/>
        <family val="2"/>
      </rPr>
      <t>Declaration</t>
    </r>
    <r>
      <rPr>
        <sz val="10"/>
        <color theme="1"/>
        <rFont val="Arial"/>
        <family val="2"/>
      </rPr>
      <t>:</t>
    </r>
    <r>
      <rPr>
        <b/>
        <sz val="10"/>
        <color theme="1"/>
        <rFont val="Arial"/>
        <family val="2"/>
      </rPr>
      <t xml:space="preserve">  </t>
    </r>
    <r>
      <rPr>
        <sz val="10"/>
        <color theme="1"/>
        <rFont val="Arial"/>
        <family val="2"/>
      </rPr>
      <t>I hereby declare that the information supplied is a true reflection of the financial records of Project (Insert Project name and number)</t>
    </r>
  </si>
  <si>
    <t xml:space="preserve">Signature: </t>
  </si>
  <si>
    <t>Date:  13 June 2024</t>
  </si>
  <si>
    <t xml:space="preserve">Signature:  </t>
  </si>
  <si>
    <t>Quarter Projection</t>
  </si>
  <si>
    <t xml:space="preserve">Projection Period: </t>
  </si>
  <si>
    <t>Total Budget</t>
  </si>
  <si>
    <t>PROJECTED EXPENDITURE</t>
  </si>
  <si>
    <t>Procure and deliver of 165 tablets to the selected schools</t>
  </si>
  <si>
    <t>Purchase school Licences</t>
  </si>
  <si>
    <t>Sub-contracting/ consultants</t>
  </si>
  <si>
    <t>GRAND TOTAL PROJECTION: :</t>
  </si>
  <si>
    <t>SURPLUS / DEFICIT</t>
  </si>
  <si>
    <t>(Provide notes for anticipated surplus or deficit)</t>
  </si>
  <si>
    <t xml:space="preserve">BANK AND CASH RECONCILIATION </t>
  </si>
  <si>
    <t>Current Reporting Period:  Jan - March 2024</t>
  </si>
  <si>
    <t>Agreement Period: Q1</t>
  </si>
  <si>
    <t>R</t>
  </si>
  <si>
    <t xml:space="preserve">Amount Transferred from TIA </t>
  </si>
  <si>
    <t xml:space="preserve">Less Actual Expenses </t>
  </si>
  <si>
    <t xml:space="preserve">Surplus (deficit) </t>
  </si>
  <si>
    <t>(from above)</t>
  </si>
  <si>
    <t>Reconciling items:</t>
  </si>
  <si>
    <t>Bank and cash balance</t>
  </si>
  <si>
    <t>(as in bank statement balances for all bank accounts held, physical cash holdings, or as in university or council cost centre statement, where applicable)</t>
  </si>
  <si>
    <t>Project Budget to date</t>
  </si>
  <si>
    <t>Project Actual to date</t>
  </si>
  <si>
    <t>(For all income= Actual year to date less budget year to date)</t>
  </si>
  <si>
    <t>(% variance= variance/actual year to date)</t>
  </si>
  <si>
    <t>TIA Funding</t>
  </si>
  <si>
    <t>Co- funding received :</t>
  </si>
  <si>
    <t>Consortium Partner A</t>
  </si>
  <si>
    <t>Consortium Partner B</t>
  </si>
  <si>
    <t>Consortium Partner C</t>
  </si>
  <si>
    <t>Consortium Partner D</t>
  </si>
  <si>
    <t>Other income:</t>
  </si>
  <si>
    <t>Grand Total Income</t>
  </si>
  <si>
    <t>(For all expenses= Budget year to date less actual year to date)</t>
  </si>
  <si>
    <t>(% variance= variance/budget year to date)</t>
  </si>
  <si>
    <t>Personnel costs:</t>
  </si>
  <si>
    <t>(Project related human resources salaries, bonuses etc.)</t>
  </si>
  <si>
    <t>Operational costs:</t>
  </si>
  <si>
    <t xml:space="preserve"> (E.g. equipment maintenance, travel etc.)</t>
  </si>
  <si>
    <t>Capital equipment:</t>
  </si>
  <si>
    <t>(put detailed capital items purchased individually or in groups as applicable)</t>
  </si>
  <si>
    <t>Consumables:</t>
  </si>
  <si>
    <t>Contingency:</t>
  </si>
  <si>
    <t>Total expenses allocated to TIA funding:</t>
  </si>
  <si>
    <t>Co- funding total expenses:</t>
  </si>
  <si>
    <t>(Insert totals of project expenses by each consortium partner; supporting documents for these totals must be readily available for TIA when requested.)</t>
  </si>
  <si>
    <t>Grand Total Expenditure:</t>
  </si>
  <si>
    <t>(This amount above should be the same as the surplus / (deficit) for the current quarter)</t>
  </si>
  <si>
    <t>Office material and Rent</t>
  </si>
  <si>
    <t>Had more meetings than expected and I had to travel several times and also but food for training team</t>
  </si>
  <si>
    <t>Drafting of contracts to be given to each recipient of the tablet and also with the schools</t>
  </si>
  <si>
    <t>We under budgetted for this one as it costed us more than what we planned</t>
  </si>
  <si>
    <t>This was not part of the budget especially bank charges</t>
  </si>
  <si>
    <t>As per bank statement</t>
  </si>
  <si>
    <t>All Tablets will be bought in Q2. We are currently settling the matter of cloud storage and other subcriptions</t>
  </si>
  <si>
    <t>This Activity will be fully achieved in Q2</t>
  </si>
  <si>
    <t>This amount is carried over from the remaining funds in Q1</t>
  </si>
  <si>
    <t>This amount is carried over from the remaining funds in Q2</t>
  </si>
  <si>
    <r>
      <rPr>
        <b/>
        <i/>
        <sz val="11"/>
        <color theme="0"/>
        <rFont val="Arial Narrow"/>
        <family val="2"/>
      </rPr>
      <t>Activity Details</t>
    </r>
    <r>
      <rPr>
        <i/>
        <sz val="11"/>
        <color theme="0"/>
        <rFont val="Arial Narrow"/>
        <family val="2"/>
      </rPr>
      <t xml:space="preserve">
( Include details of activitives linked to the budget line item in the approved project plan) </t>
    </r>
  </si>
  <si>
    <r>
      <t xml:space="preserve">(Information in the budget section must be aligned with agreed budget according to the project plan and contract. Please ensure the budget is sufficiently </t>
    </r>
    <r>
      <rPr>
        <i/>
        <u/>
        <sz val="11"/>
        <color theme="1"/>
        <rFont val="Arial Narrow"/>
        <family val="2"/>
      </rPr>
      <t>detailed</t>
    </r>
    <r>
      <rPr>
        <i/>
        <sz val="11"/>
        <color theme="1"/>
        <rFont val="Arial Narrow"/>
        <family val="2"/>
      </rPr>
      <t xml:space="preserve"> and add notes to explain all significant variations from budget.</t>
    </r>
  </si>
  <si>
    <r>
      <t xml:space="preserve">Balance brought forward from previous quarter
</t>
    </r>
    <r>
      <rPr>
        <i/>
        <sz val="11"/>
        <color theme="1"/>
        <rFont val="Arial Narrow"/>
        <family val="2"/>
      </rPr>
      <t>(this should be the surplus/ (deficit) from previous quarter)</t>
    </r>
  </si>
  <si>
    <r>
      <t xml:space="preserve">EXPENSES </t>
    </r>
    <r>
      <rPr>
        <b/>
        <i/>
        <sz val="11"/>
        <color theme="0"/>
        <rFont val="Arial Narrow"/>
        <family val="2"/>
      </rPr>
      <t>(allocated to TIA funding)</t>
    </r>
  </si>
  <si>
    <r>
      <rPr>
        <sz val="11"/>
        <color theme="1"/>
        <rFont val="Arial Narrow"/>
        <family val="2"/>
      </rPr>
      <t xml:space="preserve">POS Purchase 59.99 </t>
    </r>
    <r>
      <rPr>
        <u/>
        <sz val="11"/>
        <color rgb="FF1155CC"/>
        <rFont val="Arial Narrow"/>
        <family val="2"/>
      </rPr>
      <t>Apple.Com/Bil</t>
    </r>
  </si>
  <si>
    <r>
      <t>Declaration</t>
    </r>
    <r>
      <rPr>
        <sz val="11"/>
        <color theme="1"/>
        <rFont val="Arial Narrow"/>
        <family val="2"/>
      </rPr>
      <t>:</t>
    </r>
    <r>
      <rPr>
        <b/>
        <sz val="11"/>
        <color theme="1"/>
        <rFont val="Arial Narrow"/>
        <family val="2"/>
      </rPr>
      <t xml:space="preserve">  </t>
    </r>
    <r>
      <rPr>
        <sz val="11"/>
        <color theme="1"/>
        <rFont val="Arial Narrow"/>
        <family val="2"/>
      </rPr>
      <t>I hereby declare that the information supplied is a true reflection of the financial records of Project (Insert Project name and number)</t>
    </r>
  </si>
  <si>
    <t>Q1</t>
  </si>
  <si>
    <t>Q2</t>
  </si>
  <si>
    <r>
      <t xml:space="preserve">EXPENSES </t>
    </r>
    <r>
      <rPr>
        <b/>
        <i/>
        <sz val="11"/>
        <color rgb="FF7F7F7F"/>
        <rFont val="Arial Narrow"/>
        <family val="2"/>
      </rPr>
      <t>(allocated to TIA funding)</t>
    </r>
  </si>
  <si>
    <r>
      <t>(</t>
    </r>
    <r>
      <rPr>
        <i/>
        <sz val="11"/>
        <color theme="1"/>
        <rFont val="Arial Narrow"/>
        <family val="2"/>
      </rPr>
      <t>Grand Total Income less Grand Total Expenditure)</t>
    </r>
  </si>
  <si>
    <t>PURCH BARGAIN BOOKS NORTHR4854422142204564 7454</t>
  </si>
  <si>
    <t>Learning and Training</t>
  </si>
  <si>
    <t>FNB App Transfer To Mbuso Cele</t>
  </si>
  <si>
    <t>PURCH 500 FETWAY INVESTME4854422142204564 7429</t>
  </si>
  <si>
    <t>Digital Assets</t>
  </si>
  <si>
    <t>Rent</t>
  </si>
  <si>
    <t>234 City Properties</t>
  </si>
  <si>
    <t>Budget is more than the funds tranfered by TIA</t>
  </si>
  <si>
    <t>Banks charges</t>
  </si>
  <si>
    <t>1.1.1 Understand project objectives, scope, and deliverables [Mbangiso Mabaso]</t>
  </si>
  <si>
    <t>1.1.2 Ensure all project related contracts are in place for the project
[Mbangiso Mabaso]</t>
  </si>
  <si>
    <t>2.2.1 Develop Project Execution Plan in consultation with TIA Specialist[Mbangiso Mabaso + Ashaal]</t>
  </si>
  <si>
    <t>2.2.2 Host Project kick off meeting to ensure all relevant stakeholders understand how the project will be implemented[Mbangiso Mabaso + TIA +DSI+City of Umhlathuze)</t>
  </si>
  <si>
    <t>2.2.3 Develop a stakholder map to identifiy funding sources and potential partners for Umhlatuze</t>
  </si>
  <si>
    <t>2.2.4 Develop a business sustainability model for Sisanda App Universe</t>
  </si>
  <si>
    <t>2.2.5 Source funding proposals to support the sustainability of Sisanda App Universe beyond the duration of this project at Umhlathuze</t>
  </si>
  <si>
    <t>3.1.1 Identify and finalise product sites[Mbangiso Mabaso]</t>
  </si>
  <si>
    <t>3.1.2 Address any potential gaps that might impact project implementation[Mbangiso Mabaso]</t>
  </si>
  <si>
    <t>3.1.5 Install the app on tablets for all participating schools[Mbangiso Mabaso/Lepekoloa Lenkoe]</t>
  </si>
  <si>
    <t>3.1.6 Conduct quality assurance checks to ensure optimal app performance of the app on all devices[Mbangiso Mabaso/Lepekoloa Lenkoe]</t>
  </si>
  <si>
    <t>4.2.3 Schedule training sessions for teachers and IT staff.[Mbangiso Mabaso]</t>
  </si>
  <si>
    <t>3.2.1 Conduct hands-on demonstration sessions.</t>
  </si>
  <si>
    <t>3.2.3 Update and distribute user manuals and FAQs.</t>
  </si>
  <si>
    <t>3.3.1 Distribute tablets to the schools [Mbangiso Mabaso + Vuyisile Mdutjulwa]</t>
  </si>
  <si>
    <t>3.3.2 Provide delivery notes for teachers or school management to sign, confirming delivery.</t>
  </si>
  <si>
    <t>3.3.3 Provide on-site support during the initial days of implementation.</t>
  </si>
  <si>
    <t xml:space="preserve">4.1.1 Establish a helpline or support portal for schools to report issues or seek assistance.
</t>
  </si>
  <si>
    <t xml:space="preserve">4.1.2 Monitor app usage, performance, and gather user feedback.
</t>
  </si>
  <si>
    <t>4.1.3 Provide any and all required updates to the Sisanda App.</t>
  </si>
  <si>
    <t>4.3.1 Release updates or patches based on feedback and technological advancements.</t>
  </si>
  <si>
    <t xml:space="preserve">4.3.2 Schedule  refresher training sessions on any new features added to the app
 </t>
  </si>
  <si>
    <t xml:space="preserve">4.3.3 Engage with schools for sustained collaboration and improvement. </t>
  </si>
  <si>
    <t>ABC Academy</t>
  </si>
  <si>
    <t>Name of Institution: ABC Academy</t>
  </si>
  <si>
    <t xml:space="preserve">Financial information prepared by: Yasmin                         </t>
  </si>
  <si>
    <t>Financial Information Approved By: Nondumiso</t>
  </si>
  <si>
    <t xml:space="preserve">Financial information prepared by: Yasmin                       </t>
  </si>
  <si>
    <t>Financial Information Approved By:  Nondumiso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</si>
</sst>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[$R-1C09]* #,##0.00&quot; &quot;;&quot;-&quot;[$R-1C09]* #,##0.00&quot; &quot;;&quot; &quot;[$R-1C09]* &quot;-&quot;??&quot; &quot;"/>
    <numFmt numFmtId="165" formatCode="_-[$R-1C09]* #,##0.00_-;\-[$R-1C09]* #,##0.00_-;_-[$R-1C09]* &quot;-&quot;??_-;_-@"/>
    <numFmt numFmtId="166" formatCode="&quot;R&quot;#,##0.00"/>
    <numFmt numFmtId="167" formatCode="&quot; &quot;* #,##0.00&quot; &quot;;&quot;-&quot;* #,##0.00&quot; &quot;;&quot; &quot;* &quot;-&quot;??&quot; &quot;"/>
  </numFmts>
  <fonts count="36" x14ac:knownFonts="1">
    <font>
      <sz val="11"/>
      <color theme="1"/>
      <name val="Calibri"/>
      <scheme val="minor"/>
    </font>
    <font>
      <sz val="11"/>
      <color rgb="FF000000"/>
      <name val="Arial Narrow"/>
      <family val="2"/>
    </font>
    <font>
      <b/>
      <sz val="11"/>
      <color rgb="FFFFFFFF"/>
      <name val="Arial Narrow"/>
      <family val="2"/>
    </font>
    <font>
      <b/>
      <sz val="11"/>
      <color rgb="FF000000"/>
      <name val="Arial Narrow"/>
      <family val="2"/>
    </font>
    <font>
      <sz val="11"/>
      <name val="Calibri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sz val="11"/>
      <color theme="0"/>
      <name val="Arial Narrow"/>
      <family val="2"/>
    </font>
    <font>
      <i/>
      <sz val="11"/>
      <color theme="0"/>
      <name val="Arial Narrow"/>
      <family val="2"/>
    </font>
    <font>
      <b/>
      <i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Arial Narrow"/>
      <family val="2"/>
    </font>
    <font>
      <b/>
      <sz val="11"/>
      <color rgb="FF000000"/>
      <name val="Arial Narrow"/>
      <family val="2"/>
    </font>
    <font>
      <i/>
      <sz val="11"/>
      <color theme="1"/>
      <name val="Arial Narrow"/>
      <family val="2"/>
    </font>
    <font>
      <i/>
      <u/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u/>
      <sz val="11"/>
      <color rgb="FF0000FF"/>
      <name val="Arial Narrow"/>
      <family val="2"/>
    </font>
    <font>
      <sz val="11"/>
      <color rgb="FF000000"/>
      <name val="Arial Narrow"/>
      <family val="2"/>
    </font>
    <font>
      <u/>
      <sz val="11"/>
      <name val="Arial Narrow"/>
      <family val="2"/>
    </font>
    <font>
      <u/>
      <sz val="11"/>
      <color theme="1"/>
      <name val="Arial Narrow"/>
      <family val="2"/>
    </font>
    <font>
      <u/>
      <sz val="11"/>
      <color rgb="FF1155CC"/>
      <name val="Arial Narrow"/>
      <family val="2"/>
    </font>
    <font>
      <b/>
      <i/>
      <sz val="11"/>
      <color theme="1"/>
      <name val="Arial Narrow"/>
      <family val="2"/>
    </font>
    <font>
      <b/>
      <i/>
      <sz val="11"/>
      <color rgb="FF7F7F7F"/>
      <name val="Arial Narrow"/>
      <family val="2"/>
    </font>
    <font>
      <sz val="11"/>
      <color theme="1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D4D6A"/>
        <bgColor rgb="FF2D4D6A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D6E3BC"/>
        <bgColor rgb="FFD6E3BC"/>
      </patternFill>
    </fill>
    <fill>
      <patternFill patternType="solid">
        <fgColor rgb="FF969696"/>
        <bgColor rgb="FF969696"/>
      </patternFill>
    </fill>
    <fill>
      <patternFill patternType="solid">
        <fgColor rgb="FFD9D9D9"/>
        <bgColor rgb="FFD9D9D9"/>
      </patternFill>
    </fill>
    <fill>
      <patternFill patternType="solid">
        <fgColor rgb="FF244061"/>
        <bgColor rgb="FF244061"/>
      </patternFill>
    </fill>
    <fill>
      <patternFill patternType="solid">
        <fgColor rgb="FF8DB3E2"/>
        <bgColor rgb="FF8DB3E2"/>
      </patternFill>
    </fill>
    <fill>
      <patternFill patternType="solid">
        <fgColor rgb="FFFF0000"/>
        <bgColor rgb="FFFF0000"/>
      </patternFill>
    </fill>
    <fill>
      <patternFill patternType="solid">
        <fgColor theme="5" tint="0.59999389629810485"/>
        <bgColor rgb="FFD6E3B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8DB3E2"/>
      </patternFill>
    </fill>
    <fill>
      <patternFill patternType="solid">
        <fgColor theme="4" tint="-0.499984740745262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rgb="FFD9D9D9"/>
      </patternFill>
    </fill>
  </fills>
  <borders count="11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000000"/>
      </top>
      <bottom style="double">
        <color rgb="FF000000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2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49" fontId="3" fillId="2" borderId="14" xfId="0" applyNumberFormat="1" applyFont="1" applyFill="1" applyBorder="1" applyAlignment="1">
      <alignment horizontal="center" vertical="top"/>
    </xf>
    <xf numFmtId="49" fontId="3" fillId="2" borderId="15" xfId="0" applyNumberFormat="1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 wrapText="1"/>
    </xf>
    <xf numFmtId="49" fontId="3" fillId="4" borderId="16" xfId="0" applyNumberFormat="1" applyFont="1" applyFill="1" applyBorder="1" applyAlignment="1">
      <alignment horizontal="center" vertical="center" wrapText="1"/>
    </xf>
    <xf numFmtId="49" fontId="3" fillId="5" borderId="14" xfId="0" applyNumberFormat="1" applyFont="1" applyFill="1" applyBorder="1" applyAlignment="1">
      <alignment horizontal="center" vertical="top" wrapText="1"/>
    </xf>
    <xf numFmtId="49" fontId="3" fillId="5" borderId="15" xfId="0" applyNumberFormat="1" applyFont="1" applyFill="1" applyBorder="1" applyAlignment="1">
      <alignment horizontal="center" vertical="top" wrapText="1"/>
    </xf>
    <xf numFmtId="49" fontId="1" fillId="2" borderId="17" xfId="0" applyNumberFormat="1" applyFont="1" applyFill="1" applyBorder="1" applyAlignment="1">
      <alignment vertical="top" wrapText="1"/>
    </xf>
    <xf numFmtId="49" fontId="1" fillId="2" borderId="18" xfId="0" applyNumberFormat="1" applyFont="1" applyFill="1" applyBorder="1" applyAlignment="1">
      <alignment vertical="top" wrapText="1"/>
    </xf>
    <xf numFmtId="49" fontId="1" fillId="2" borderId="18" xfId="0" applyNumberFormat="1" applyFont="1" applyFill="1" applyBorder="1" applyAlignment="1">
      <alignment horizontal="left" vertical="top" wrapText="1"/>
    </xf>
    <xf numFmtId="49" fontId="1" fillId="2" borderId="22" xfId="0" applyNumberFormat="1" applyFont="1" applyFill="1" applyBorder="1" applyAlignment="1">
      <alignment vertical="top" wrapText="1"/>
    </xf>
    <xf numFmtId="49" fontId="1" fillId="2" borderId="23" xfId="0" applyNumberFormat="1" applyFont="1" applyFill="1" applyBorder="1" applyAlignment="1">
      <alignment vertical="top" wrapText="1"/>
    </xf>
    <xf numFmtId="49" fontId="1" fillId="2" borderId="23" xfId="0" applyNumberFormat="1" applyFont="1" applyFill="1" applyBorder="1" applyAlignment="1">
      <alignment horizontal="left" vertical="top" wrapText="1"/>
    </xf>
    <xf numFmtId="164" fontId="3" fillId="0" borderId="3" xfId="0" applyNumberFormat="1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/>
    </xf>
    <xf numFmtId="164" fontId="5" fillId="2" borderId="28" xfId="0" applyNumberFormat="1" applyFont="1" applyFill="1" applyBorder="1" applyAlignment="1">
      <alignment vertical="top" wrapText="1"/>
    </xf>
    <xf numFmtId="49" fontId="1" fillId="2" borderId="32" xfId="0" applyNumberFormat="1" applyFont="1" applyFill="1" applyBorder="1" applyAlignment="1">
      <alignment vertical="top" wrapText="1"/>
    </xf>
    <xf numFmtId="49" fontId="1" fillId="2" borderId="32" xfId="0" applyNumberFormat="1" applyFont="1" applyFill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2" xfId="0" applyFont="1" applyBorder="1"/>
    <xf numFmtId="0" fontId="6" fillId="0" borderId="32" xfId="0" applyFont="1" applyBorder="1" applyAlignment="1">
      <alignment horizontal="center" vertical="top"/>
    </xf>
    <xf numFmtId="0" fontId="6" fillId="0" borderId="32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23" xfId="0" applyFont="1" applyBorder="1"/>
    <xf numFmtId="0" fontId="6" fillId="0" borderId="23" xfId="0" applyFont="1" applyBorder="1" applyAlignment="1">
      <alignment horizontal="center" vertical="top"/>
    </xf>
    <xf numFmtId="164" fontId="3" fillId="0" borderId="20" xfId="0" applyNumberFormat="1" applyFont="1" applyBorder="1" applyAlignment="1">
      <alignment vertical="top" wrapText="1"/>
    </xf>
    <xf numFmtId="164" fontId="3" fillId="0" borderId="21" xfId="0" applyNumberFormat="1" applyFont="1" applyBorder="1" applyAlignment="1">
      <alignment vertical="top" wrapText="1"/>
    </xf>
    <xf numFmtId="164" fontId="5" fillId="2" borderId="47" xfId="0" applyNumberFormat="1" applyFont="1" applyFill="1" applyBorder="1" applyAlignment="1">
      <alignment vertical="top" wrapText="1"/>
    </xf>
    <xf numFmtId="49" fontId="1" fillId="2" borderId="49" xfId="0" applyNumberFormat="1" applyFont="1" applyFill="1" applyBorder="1" applyAlignment="1">
      <alignment vertical="top" wrapText="1"/>
    </xf>
    <xf numFmtId="49" fontId="1" fillId="2" borderId="49" xfId="0" applyNumberFormat="1" applyFont="1" applyFill="1" applyBorder="1" applyAlignment="1">
      <alignment horizontal="left" vertical="top" wrapText="1"/>
    </xf>
    <xf numFmtId="49" fontId="6" fillId="0" borderId="31" xfId="0" applyNumberFormat="1" applyFont="1" applyBorder="1" applyAlignment="1">
      <alignment horizontal="center" vertical="top" wrapText="1"/>
    </xf>
    <xf numFmtId="49" fontId="6" fillId="0" borderId="33" xfId="0" applyNumberFormat="1" applyFont="1" applyBorder="1" applyAlignment="1">
      <alignment horizontal="center" vertical="top" wrapText="1"/>
    </xf>
    <xf numFmtId="164" fontId="1" fillId="5" borderId="50" xfId="0" applyNumberFormat="1" applyFont="1" applyFill="1" applyBorder="1" applyAlignment="1">
      <alignment horizontal="center" vertical="top" wrapText="1"/>
    </xf>
    <xf numFmtId="164" fontId="1" fillId="5" borderId="49" xfId="0" applyNumberFormat="1" applyFont="1" applyFill="1" applyBorder="1" applyAlignment="1">
      <alignment horizontal="center" vertical="top" wrapText="1"/>
    </xf>
    <xf numFmtId="164" fontId="5" fillId="2" borderId="51" xfId="0" applyNumberFormat="1" applyFont="1" applyFill="1" applyBorder="1" applyAlignment="1">
      <alignment horizontal="center" vertical="top" wrapText="1"/>
    </xf>
    <xf numFmtId="49" fontId="6" fillId="0" borderId="32" xfId="0" applyNumberFormat="1" applyFont="1" applyBorder="1" applyAlignment="1">
      <alignment horizontal="center" vertical="top" wrapText="1"/>
    </xf>
    <xf numFmtId="49" fontId="6" fillId="0" borderId="52" xfId="0" applyNumberFormat="1" applyFont="1" applyBorder="1" applyAlignment="1">
      <alignment horizontal="center" vertical="top" wrapText="1"/>
    </xf>
    <xf numFmtId="164" fontId="1" fillId="5" borderId="53" xfId="0" applyNumberFormat="1" applyFont="1" applyFill="1" applyBorder="1" applyAlignment="1">
      <alignment horizontal="center" vertical="top" wrapText="1"/>
    </xf>
    <xf numFmtId="164" fontId="1" fillId="5" borderId="32" xfId="0" applyNumberFormat="1" applyFont="1" applyFill="1" applyBorder="1" applyAlignment="1">
      <alignment horizontal="center" vertical="top" wrapText="1"/>
    </xf>
    <xf numFmtId="164" fontId="5" fillId="2" borderId="54" xfId="0" applyNumberFormat="1" applyFont="1" applyFill="1" applyBorder="1" applyAlignment="1">
      <alignment vertical="top" wrapText="1"/>
    </xf>
    <xf numFmtId="49" fontId="1" fillId="2" borderId="32" xfId="0" applyNumberFormat="1" applyFont="1" applyFill="1" applyBorder="1" applyAlignment="1">
      <alignment vertical="top"/>
    </xf>
    <xf numFmtId="49" fontId="1" fillId="2" borderId="32" xfId="0" applyNumberFormat="1" applyFont="1" applyFill="1" applyBorder="1" applyAlignment="1">
      <alignment horizontal="center" vertical="top"/>
    </xf>
    <xf numFmtId="49" fontId="1" fillId="2" borderId="55" xfId="0" applyNumberFormat="1" applyFont="1" applyFill="1" applyBorder="1" applyAlignment="1">
      <alignment horizontal="center" vertical="top"/>
    </xf>
    <xf numFmtId="164" fontId="1" fillId="5" borderId="53" xfId="0" applyNumberFormat="1" applyFont="1" applyFill="1" applyBorder="1" applyAlignment="1">
      <alignment vertical="top" wrapText="1"/>
    </xf>
    <xf numFmtId="164" fontId="1" fillId="5" borderId="32" xfId="0" applyNumberFormat="1" applyFont="1" applyFill="1" applyBorder="1" applyAlignment="1">
      <alignment vertical="top" wrapText="1"/>
    </xf>
    <xf numFmtId="49" fontId="1" fillId="2" borderId="32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 wrapText="1"/>
    </xf>
    <xf numFmtId="164" fontId="3" fillId="0" borderId="61" xfId="0" applyNumberFormat="1" applyFont="1" applyBorder="1" applyAlignment="1">
      <alignment vertical="top" wrapText="1"/>
    </xf>
    <xf numFmtId="164" fontId="3" fillId="0" borderId="62" xfId="0" applyNumberFormat="1" applyFont="1" applyBorder="1" applyAlignment="1">
      <alignment vertical="top" wrapText="1"/>
    </xf>
    <xf numFmtId="164" fontId="5" fillId="2" borderId="63" xfId="0" applyNumberFormat="1" applyFont="1" applyFill="1" applyBorder="1" applyAlignment="1">
      <alignment vertical="top" wrapText="1"/>
    </xf>
    <xf numFmtId="49" fontId="1" fillId="2" borderId="49" xfId="0" applyNumberFormat="1" applyFont="1" applyFill="1" applyBorder="1" applyAlignment="1">
      <alignment wrapText="1"/>
    </xf>
    <xf numFmtId="0" fontId="1" fillId="2" borderId="49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vertical="top" wrapText="1"/>
    </xf>
    <xf numFmtId="0" fontId="1" fillId="2" borderId="32" xfId="0" applyFont="1" applyFill="1" applyBorder="1" applyAlignment="1">
      <alignment horizontal="left" vertical="top" wrapText="1"/>
    </xf>
    <xf numFmtId="49" fontId="1" fillId="2" borderId="61" xfId="0" applyNumberFormat="1" applyFont="1" applyFill="1" applyBorder="1" applyAlignment="1">
      <alignment horizontal="left" vertical="top" wrapText="1"/>
    </xf>
    <xf numFmtId="49" fontId="1" fillId="2" borderId="62" xfId="0" applyNumberFormat="1" applyFont="1" applyFill="1" applyBorder="1" applyAlignment="1">
      <alignment horizontal="left" vertical="top" wrapText="1"/>
    </xf>
    <xf numFmtId="49" fontId="1" fillId="2" borderId="62" xfId="0" applyNumberFormat="1" applyFont="1" applyFill="1" applyBorder="1" applyAlignment="1">
      <alignment vertical="top" wrapText="1"/>
    </xf>
    <xf numFmtId="49" fontId="1" fillId="2" borderId="62" xfId="0" applyNumberFormat="1" applyFont="1" applyFill="1" applyBorder="1" applyAlignment="1">
      <alignment horizontal="center" vertical="top" wrapText="1"/>
    </xf>
    <xf numFmtId="49" fontId="1" fillId="2" borderId="80" xfId="0" applyNumberFormat="1" applyFont="1" applyFill="1" applyBorder="1" applyAlignment="1">
      <alignment horizontal="center" vertical="top" wrapText="1"/>
    </xf>
    <xf numFmtId="164" fontId="1" fillId="5" borderId="61" xfId="0" applyNumberFormat="1" applyFont="1" applyFill="1" applyBorder="1" applyAlignment="1">
      <alignment horizontal="right" vertical="top" wrapText="1"/>
    </xf>
    <xf numFmtId="164" fontId="1" fillId="5" borderId="62" xfId="0" applyNumberFormat="1" applyFont="1" applyFill="1" applyBorder="1" applyAlignment="1">
      <alignment horizontal="right" vertical="top" wrapText="1"/>
    </xf>
    <xf numFmtId="164" fontId="3" fillId="2" borderId="61" xfId="0" applyNumberFormat="1" applyFont="1" applyFill="1" applyBorder="1" applyAlignment="1">
      <alignment horizontal="right" vertical="top" wrapText="1"/>
    </xf>
    <xf numFmtId="164" fontId="3" fillId="2" borderId="62" xfId="0" applyNumberFormat="1" applyFont="1" applyFill="1" applyBorder="1" applyAlignment="1">
      <alignment horizontal="right" vertical="top" wrapText="1"/>
    </xf>
    <xf numFmtId="164" fontId="5" fillId="2" borderId="63" xfId="0" applyNumberFormat="1" applyFont="1" applyFill="1" applyBorder="1" applyAlignment="1">
      <alignment horizontal="right" vertical="top" wrapText="1"/>
    </xf>
    <xf numFmtId="164" fontId="3" fillId="2" borderId="85" xfId="0" applyNumberFormat="1" applyFont="1" applyFill="1" applyBorder="1" applyAlignment="1">
      <alignment horizontal="right" vertical="top" wrapText="1"/>
    </xf>
    <xf numFmtId="164" fontId="5" fillId="2" borderId="86" xfId="0" applyNumberFormat="1" applyFont="1" applyFill="1" applyBorder="1" applyAlignment="1">
      <alignment horizontal="right" vertical="top" wrapText="1"/>
    </xf>
    <xf numFmtId="0" fontId="1" fillId="2" borderId="87" xfId="0" applyFont="1" applyFill="1" applyBorder="1" applyAlignment="1">
      <alignment horizontal="left"/>
    </xf>
    <xf numFmtId="0" fontId="1" fillId="2" borderId="90" xfId="0" applyFont="1" applyFill="1" applyBorder="1" applyAlignment="1">
      <alignment vertical="top"/>
    </xf>
    <xf numFmtId="0" fontId="1" fillId="2" borderId="90" xfId="0" applyFont="1" applyFill="1" applyBorder="1"/>
    <xf numFmtId="0" fontId="1" fillId="2" borderId="9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87" xfId="0" applyFont="1" applyFill="1" applyBorder="1" applyAlignment="1">
      <alignment horizontal="left" wrapText="1"/>
    </xf>
    <xf numFmtId="0" fontId="1" fillId="2" borderId="32" xfId="0" applyFont="1" applyFill="1" applyBorder="1" applyAlignment="1">
      <alignment wrapText="1"/>
    </xf>
    <xf numFmtId="165" fontId="1" fillId="2" borderId="32" xfId="0" applyNumberFormat="1" applyFont="1" applyFill="1" applyBorder="1"/>
    <xf numFmtId="165" fontId="1" fillId="2" borderId="92" xfId="0" applyNumberFormat="1" applyFont="1" applyFill="1" applyBorder="1"/>
    <xf numFmtId="0" fontId="1" fillId="2" borderId="93" xfId="0" applyFont="1" applyFill="1" applyBorder="1" applyAlignment="1">
      <alignment horizontal="left" wrapText="1"/>
    </xf>
    <xf numFmtId="166" fontId="1" fillId="2" borderId="90" xfId="0" applyNumberFormat="1" applyFont="1" applyFill="1" applyBorder="1" applyAlignment="1">
      <alignment horizontal="right"/>
    </xf>
    <xf numFmtId="0" fontId="1" fillId="2" borderId="94" xfId="0" applyFont="1" applyFill="1" applyBorder="1" applyAlignment="1">
      <alignment vertical="top"/>
    </xf>
    <xf numFmtId="0" fontId="1" fillId="2" borderId="94" xfId="0" applyFont="1" applyFill="1" applyBorder="1"/>
    <xf numFmtId="0" fontId="1" fillId="2" borderId="9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7" fillId="0" borderId="0" xfId="0" applyNumberFormat="1" applyFont="1"/>
    <xf numFmtId="0" fontId="8" fillId="0" borderId="0" xfId="0" applyFont="1"/>
    <xf numFmtId="9" fontId="8" fillId="0" borderId="0" xfId="0" applyNumberFormat="1" applyFont="1"/>
    <xf numFmtId="166" fontId="9" fillId="0" borderId="32" xfId="0" applyNumberFormat="1" applyFont="1" applyBorder="1" applyAlignment="1">
      <alignment vertical="center" wrapText="1"/>
    </xf>
    <xf numFmtId="9" fontId="9" fillId="0" borderId="32" xfId="0" applyNumberFormat="1" applyFont="1" applyBorder="1" applyAlignment="1">
      <alignment vertical="center" wrapText="1"/>
    </xf>
    <xf numFmtId="0" fontId="9" fillId="0" borderId="32" xfId="0" applyFont="1" applyBorder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11" borderId="55" xfId="0" applyFont="1" applyFill="1" applyBorder="1" applyAlignment="1">
      <alignment vertical="center" wrapText="1"/>
    </xf>
    <xf numFmtId="0" fontId="9" fillId="0" borderId="91" xfId="0" applyFont="1" applyBorder="1" applyAlignment="1">
      <alignment vertical="center" wrapText="1"/>
    </xf>
    <xf numFmtId="0" fontId="11" fillId="0" borderId="0" xfId="0" applyFont="1"/>
    <xf numFmtId="0" fontId="11" fillId="11" borderId="3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166" fontId="9" fillId="0" borderId="0" xfId="0" applyNumberFormat="1" applyFont="1"/>
    <xf numFmtId="9" fontId="9" fillId="0" borderId="0" xfId="0" applyNumberFormat="1" applyFont="1"/>
    <xf numFmtId="166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6" fontId="8" fillId="0" borderId="0" xfId="0" applyNumberFormat="1" applyFont="1"/>
    <xf numFmtId="0" fontId="8" fillId="0" borderId="0" xfId="0" applyFont="1" applyAlignment="1">
      <alignment wrapText="1"/>
    </xf>
    <xf numFmtId="0" fontId="9" fillId="18" borderId="32" xfId="0" applyFont="1" applyFill="1" applyBorder="1" applyAlignment="1">
      <alignment wrapText="1"/>
    </xf>
    <xf numFmtId="0" fontId="11" fillId="19" borderId="55" xfId="0" applyFont="1" applyFill="1" applyBorder="1" applyAlignment="1">
      <alignment vertical="center" wrapText="1"/>
    </xf>
    <xf numFmtId="166" fontId="9" fillId="18" borderId="32" xfId="0" applyNumberFormat="1" applyFont="1" applyFill="1" applyBorder="1" applyAlignment="1">
      <alignment vertical="center" wrapText="1"/>
    </xf>
    <xf numFmtId="9" fontId="9" fillId="18" borderId="32" xfId="0" applyNumberFormat="1" applyFont="1" applyFill="1" applyBorder="1" applyAlignment="1">
      <alignment vertical="center" wrapText="1"/>
    </xf>
    <xf numFmtId="0" fontId="9" fillId="18" borderId="91" xfId="0" applyFont="1" applyFill="1" applyBorder="1" applyAlignment="1">
      <alignment vertical="center" wrapText="1"/>
    </xf>
    <xf numFmtId="0" fontId="14" fillId="20" borderId="55" xfId="0" applyFont="1" applyFill="1" applyBorder="1" applyAlignment="1">
      <alignment vertical="center" wrapText="1"/>
    </xf>
    <xf numFmtId="166" fontId="15" fillId="17" borderId="32" xfId="0" applyNumberFormat="1" applyFont="1" applyFill="1" applyBorder="1" applyAlignment="1">
      <alignment vertical="center" wrapText="1"/>
    </xf>
    <xf numFmtId="166" fontId="15" fillId="17" borderId="36" xfId="0" applyNumberFormat="1" applyFont="1" applyFill="1" applyBorder="1" applyAlignment="1">
      <alignment vertical="center" wrapText="1"/>
    </xf>
    <xf numFmtId="9" fontId="15" fillId="17" borderId="32" xfId="0" applyNumberFormat="1" applyFont="1" applyFill="1" applyBorder="1" applyAlignment="1">
      <alignment vertical="center" wrapText="1"/>
    </xf>
    <xf numFmtId="0" fontId="15" fillId="17" borderId="91" xfId="0" applyFont="1" applyFill="1" applyBorder="1" applyAlignment="1">
      <alignment vertical="center" wrapText="1"/>
    </xf>
    <xf numFmtId="0" fontId="15" fillId="17" borderId="32" xfId="0" applyFont="1" applyFill="1" applyBorder="1" applyAlignment="1">
      <alignment wrapText="1"/>
    </xf>
    <xf numFmtId="0" fontId="0" fillId="0" borderId="0" xfId="0" applyAlignment="1">
      <alignment wrapText="1"/>
    </xf>
    <xf numFmtId="0" fontId="16" fillId="0" borderId="32" xfId="0" applyFont="1" applyBorder="1" applyAlignment="1">
      <alignment wrapText="1"/>
    </xf>
    <xf numFmtId="166" fontId="18" fillId="17" borderId="32" xfId="0" applyNumberFormat="1" applyFont="1" applyFill="1" applyBorder="1" applyAlignment="1">
      <alignment horizontal="left" vertical="center" wrapText="1"/>
    </xf>
    <xf numFmtId="0" fontId="19" fillId="20" borderId="32" xfId="0" applyFont="1" applyFill="1" applyBorder="1" applyAlignment="1">
      <alignment horizontal="center" vertical="center" wrapText="1"/>
    </xf>
    <xf numFmtId="0" fontId="12" fillId="0" borderId="107" xfId="0" applyFont="1" applyBorder="1" applyAlignment="1">
      <alignment vertical="center" wrapText="1"/>
    </xf>
    <xf numFmtId="166" fontId="12" fillId="0" borderId="90" xfId="0" applyNumberFormat="1" applyFont="1" applyBorder="1" applyAlignment="1">
      <alignment vertical="center" wrapText="1"/>
    </xf>
    <xf numFmtId="10" fontId="12" fillId="0" borderId="90" xfId="0" applyNumberFormat="1" applyFont="1" applyBorder="1" applyAlignment="1">
      <alignment vertical="center" wrapText="1"/>
    </xf>
    <xf numFmtId="10" fontId="0" fillId="0" borderId="0" xfId="0" applyNumberFormat="1"/>
    <xf numFmtId="0" fontId="16" fillId="0" borderId="0" xfId="0" applyFont="1"/>
    <xf numFmtId="0" fontId="16" fillId="0" borderId="65" xfId="0" applyFont="1" applyBorder="1" applyAlignment="1">
      <alignment wrapText="1"/>
    </xf>
    <xf numFmtId="9" fontId="16" fillId="0" borderId="0" xfId="0" applyNumberFormat="1" applyFont="1"/>
    <xf numFmtId="9" fontId="16" fillId="0" borderId="71" xfId="0" applyNumberFormat="1" applyFont="1" applyBorder="1"/>
    <xf numFmtId="0" fontId="16" fillId="0" borderId="71" xfId="0" applyFont="1" applyBorder="1"/>
    <xf numFmtId="0" fontId="16" fillId="0" borderId="70" xfId="0" applyFont="1" applyBorder="1" applyAlignment="1">
      <alignment wrapText="1"/>
    </xf>
    <xf numFmtId="0" fontId="16" fillId="0" borderId="91" xfId="0" applyFont="1" applyBorder="1" applyAlignment="1">
      <alignment wrapText="1"/>
    </xf>
    <xf numFmtId="166" fontId="21" fillId="11" borderId="32" xfId="0" applyNumberFormat="1" applyFont="1" applyFill="1" applyBorder="1" applyAlignment="1">
      <alignment horizontal="center" vertical="center" wrapText="1"/>
    </xf>
    <xf numFmtId="9" fontId="21" fillId="11" borderId="32" xfId="0" applyNumberFormat="1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vertical="center" wrapText="1"/>
    </xf>
    <xf numFmtId="0" fontId="23" fillId="0" borderId="32" xfId="1" applyFont="1" applyBorder="1" applyAlignment="1">
      <alignment wrapText="1"/>
    </xf>
    <xf numFmtId="0" fontId="24" fillId="0" borderId="0" xfId="0" applyFont="1"/>
    <xf numFmtId="0" fontId="27" fillId="12" borderId="32" xfId="0" applyFont="1" applyFill="1" applyBorder="1" applyAlignment="1">
      <alignment vertical="center" wrapText="1"/>
    </xf>
    <xf numFmtId="166" fontId="16" fillId="11" borderId="32" xfId="0" applyNumberFormat="1" applyFont="1" applyFill="1" applyBorder="1" applyAlignment="1">
      <alignment vertical="center" wrapText="1"/>
    </xf>
    <xf numFmtId="166" fontId="25" fillId="11" borderId="32" xfId="0" applyNumberFormat="1" applyFont="1" applyFill="1" applyBorder="1" applyAlignment="1">
      <alignment vertical="center" wrapText="1"/>
    </xf>
    <xf numFmtId="9" fontId="25" fillId="11" borderId="32" xfId="0" applyNumberFormat="1" applyFont="1" applyFill="1" applyBorder="1" applyAlignment="1">
      <alignment vertical="center" wrapText="1"/>
    </xf>
    <xf numFmtId="0" fontId="25" fillId="11" borderId="32" xfId="0" applyFont="1" applyFill="1" applyBorder="1" applyAlignment="1">
      <alignment vertical="center" wrapText="1"/>
    </xf>
    <xf numFmtId="0" fontId="16" fillId="11" borderId="32" xfId="0" applyFont="1" applyFill="1" applyBorder="1" applyAlignment="1">
      <alignment vertical="center" wrapText="1"/>
    </xf>
    <xf numFmtId="166" fontId="16" fillId="0" borderId="32" xfId="0" applyNumberFormat="1" applyFont="1" applyBorder="1" applyAlignment="1">
      <alignment vertical="center" wrapText="1"/>
    </xf>
    <xf numFmtId="9" fontId="16" fillId="0" borderId="32" xfId="0" applyNumberFormat="1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  <xf numFmtId="0" fontId="18" fillId="20" borderId="32" xfId="0" applyFont="1" applyFill="1" applyBorder="1" applyAlignment="1">
      <alignment vertical="center" wrapText="1"/>
    </xf>
    <xf numFmtId="166" fontId="18" fillId="17" borderId="32" xfId="0" applyNumberFormat="1" applyFont="1" applyFill="1" applyBorder="1" applyAlignment="1">
      <alignment vertical="center" wrapText="1"/>
    </xf>
    <xf numFmtId="9" fontId="18" fillId="17" borderId="32" xfId="0" applyNumberFormat="1" applyFont="1" applyFill="1" applyBorder="1" applyAlignment="1">
      <alignment vertical="center" wrapText="1"/>
    </xf>
    <xf numFmtId="0" fontId="18" fillId="17" borderId="32" xfId="0" applyFont="1" applyFill="1" applyBorder="1" applyAlignment="1">
      <alignment vertical="center" wrapText="1"/>
    </xf>
    <xf numFmtId="0" fontId="16" fillId="11" borderId="32" xfId="0" applyFont="1" applyFill="1" applyBorder="1" applyAlignment="1">
      <alignment horizontal="left" vertical="center" wrapText="1"/>
    </xf>
    <xf numFmtId="166" fontId="20" fillId="17" borderId="32" xfId="0" applyNumberFormat="1" applyFont="1" applyFill="1" applyBorder="1" applyAlignment="1">
      <alignment vertical="center" wrapText="1"/>
    </xf>
    <xf numFmtId="9" fontId="20" fillId="17" borderId="32" xfId="0" applyNumberFormat="1" applyFont="1" applyFill="1" applyBorder="1" applyAlignment="1">
      <alignment vertical="center" wrapText="1"/>
    </xf>
    <xf numFmtId="0" fontId="19" fillId="17" borderId="32" xfId="0" applyFont="1" applyFill="1" applyBorder="1" applyAlignment="1">
      <alignment wrapText="1"/>
    </xf>
    <xf numFmtId="0" fontId="21" fillId="13" borderId="15" xfId="0" applyFont="1" applyFill="1" applyBorder="1" applyAlignment="1">
      <alignment vertical="center" wrapText="1"/>
    </xf>
    <xf numFmtId="166" fontId="21" fillId="18" borderId="36" xfId="0" applyNumberFormat="1" applyFont="1" applyFill="1" applyBorder="1" applyAlignment="1">
      <alignment vertical="center" wrapText="1"/>
    </xf>
    <xf numFmtId="9" fontId="16" fillId="18" borderId="36" xfId="0" applyNumberFormat="1" applyFont="1" applyFill="1" applyBorder="1" applyAlignment="1">
      <alignment vertical="center" wrapText="1"/>
    </xf>
    <xf numFmtId="0" fontId="16" fillId="18" borderId="36" xfId="0" applyFont="1" applyFill="1" applyBorder="1" applyAlignment="1">
      <alignment vertical="center" wrapText="1"/>
    </xf>
    <xf numFmtId="0" fontId="16" fillId="18" borderId="32" xfId="0" applyFont="1" applyFill="1" applyBorder="1" applyAlignment="1">
      <alignment wrapText="1"/>
    </xf>
    <xf numFmtId="166" fontId="16" fillId="0" borderId="36" xfId="0" applyNumberFormat="1" applyFont="1" applyBorder="1" applyAlignment="1">
      <alignment vertical="center" wrapText="1"/>
    </xf>
    <xf numFmtId="0" fontId="16" fillId="11" borderId="55" xfId="0" applyFont="1" applyFill="1" applyBorder="1" applyAlignment="1">
      <alignment vertical="center" wrapText="1"/>
    </xf>
    <xf numFmtId="0" fontId="16" fillId="0" borderId="91" xfId="0" applyFont="1" applyBorder="1" applyAlignment="1">
      <alignment vertical="center" wrapText="1"/>
    </xf>
    <xf numFmtId="0" fontId="16" fillId="11" borderId="16" xfId="0" applyFont="1" applyFill="1" applyBorder="1" applyAlignment="1">
      <alignment vertical="center" wrapText="1"/>
    </xf>
    <xf numFmtId="0" fontId="21" fillId="19" borderId="104" xfId="0" applyFont="1" applyFill="1" applyBorder="1" applyAlignment="1">
      <alignment vertical="center" wrapText="1"/>
    </xf>
    <xf numFmtId="166" fontId="21" fillId="18" borderId="32" xfId="0" applyNumberFormat="1" applyFont="1" applyFill="1" applyBorder="1" applyAlignment="1">
      <alignment vertical="center" wrapText="1"/>
    </xf>
    <xf numFmtId="9" fontId="21" fillId="18" borderId="32" xfId="0" applyNumberFormat="1" applyFont="1" applyFill="1" applyBorder="1" applyAlignment="1">
      <alignment vertical="center" wrapText="1"/>
    </xf>
    <xf numFmtId="0" fontId="21" fillId="18" borderId="91" xfId="0" applyFont="1" applyFill="1" applyBorder="1" applyAlignment="1">
      <alignment vertical="center" wrapText="1"/>
    </xf>
    <xf numFmtId="0" fontId="21" fillId="18" borderId="32" xfId="0" applyFont="1" applyFill="1" applyBorder="1" applyAlignment="1">
      <alignment wrapText="1"/>
    </xf>
    <xf numFmtId="166" fontId="16" fillId="0" borderId="64" xfId="0" applyNumberFormat="1" applyFont="1" applyBorder="1" applyAlignment="1">
      <alignment vertical="center" wrapText="1"/>
    </xf>
    <xf numFmtId="0" fontId="21" fillId="19" borderId="55" xfId="0" applyFont="1" applyFill="1" applyBorder="1" applyAlignment="1">
      <alignment vertical="center" wrapText="1"/>
    </xf>
    <xf numFmtId="0" fontId="16" fillId="6" borderId="95" xfId="0" applyFont="1" applyFill="1" applyBorder="1" applyAlignment="1">
      <alignment horizontal="left" vertical="top"/>
    </xf>
    <xf numFmtId="49" fontId="28" fillId="2" borderId="95" xfId="0" applyNumberFormat="1" applyFont="1" applyFill="1" applyBorder="1" applyAlignment="1">
      <alignment horizontal="left" vertical="top"/>
    </xf>
    <xf numFmtId="0" fontId="21" fillId="0" borderId="96" xfId="0" applyFont="1" applyBorder="1" applyAlignment="1">
      <alignment horizontal="left" vertical="top"/>
    </xf>
    <xf numFmtId="0" fontId="21" fillId="0" borderId="96" xfId="0" applyFont="1" applyBorder="1" applyAlignment="1">
      <alignment horizontal="left" vertical="top" wrapText="1"/>
    </xf>
    <xf numFmtId="166" fontId="16" fillId="0" borderId="96" xfId="0" applyNumberFormat="1" applyFont="1" applyBorder="1" applyAlignment="1">
      <alignment horizontal="left" vertical="top"/>
    </xf>
    <xf numFmtId="166" fontId="16" fillId="0" borderId="0" xfId="0" applyNumberFormat="1" applyFont="1" applyAlignment="1">
      <alignment horizontal="left" vertical="top"/>
    </xf>
    <xf numFmtId="166" fontId="16" fillId="0" borderId="36" xfId="0" applyNumberFormat="1" applyFont="1" applyBorder="1" applyAlignment="1">
      <alignment horizontal="left" vertical="top"/>
    </xf>
    <xf numFmtId="0" fontId="16" fillId="0" borderId="96" xfId="0" applyFont="1" applyBorder="1" applyAlignment="1">
      <alignment horizontal="left" vertical="top"/>
    </xf>
    <xf numFmtId="0" fontId="18" fillId="6" borderId="97" xfId="0" applyFont="1" applyFill="1" applyBorder="1" applyAlignment="1">
      <alignment horizontal="left" vertical="top"/>
    </xf>
    <xf numFmtId="0" fontId="27" fillId="7" borderId="98" xfId="0" applyFont="1" applyFill="1" applyBorder="1" applyAlignment="1">
      <alignment horizontal="left" vertical="top"/>
    </xf>
    <xf numFmtId="166" fontId="27" fillId="7" borderId="99" xfId="0" applyNumberFormat="1" applyFont="1" applyFill="1" applyBorder="1" applyAlignment="1">
      <alignment horizontal="left" vertical="top"/>
    </xf>
    <xf numFmtId="0" fontId="29" fillId="6" borderId="100" xfId="0" applyFont="1" applyFill="1" applyBorder="1" applyAlignment="1">
      <alignment horizontal="left" vertical="top"/>
    </xf>
    <xf numFmtId="49" fontId="29" fillId="8" borderId="109" xfId="0" applyNumberFormat="1" applyFont="1" applyFill="1" applyBorder="1" applyAlignment="1">
      <alignment horizontal="left" vertical="top"/>
    </xf>
    <xf numFmtId="49" fontId="29" fillId="8" borderId="109" xfId="0" applyNumberFormat="1" applyFont="1" applyFill="1" applyBorder="1" applyAlignment="1">
      <alignment horizontal="left" vertical="top" wrapText="1"/>
    </xf>
    <xf numFmtId="166" fontId="29" fillId="8" borderId="109" xfId="0" applyNumberFormat="1" applyFont="1" applyFill="1" applyBorder="1" applyAlignment="1">
      <alignment horizontal="left" vertical="top"/>
    </xf>
    <xf numFmtId="49" fontId="29" fillId="8" borderId="101" xfId="0" applyNumberFormat="1" applyFont="1" applyFill="1" applyBorder="1" applyAlignment="1">
      <alignment horizontal="left" vertical="top" wrapText="1"/>
    </xf>
    <xf numFmtId="0" fontId="29" fillId="8" borderId="102" xfId="0" applyFont="1" applyFill="1" applyBorder="1" applyAlignment="1">
      <alignment horizontal="left" vertical="top" wrapText="1"/>
    </xf>
    <xf numFmtId="0" fontId="16" fillId="8" borderId="98" xfId="0" applyFont="1" applyFill="1" applyBorder="1" applyAlignment="1">
      <alignment horizontal="left" vertical="top"/>
    </xf>
    <xf numFmtId="166" fontId="16" fillId="8" borderId="98" xfId="0" applyNumberFormat="1" applyFont="1" applyFill="1" applyBorder="1" applyAlignment="1">
      <alignment horizontal="left" vertical="top" wrapText="1"/>
    </xf>
    <xf numFmtId="166" fontId="29" fillId="8" borderId="98" xfId="0" applyNumberFormat="1" applyFont="1" applyFill="1" applyBorder="1" applyAlignment="1">
      <alignment horizontal="left" vertical="top" wrapText="1"/>
    </xf>
    <xf numFmtId="0" fontId="16" fillId="9" borderId="32" xfId="0" applyFont="1" applyFill="1" applyBorder="1" applyAlignment="1">
      <alignment horizontal="left" vertical="top"/>
    </xf>
    <xf numFmtId="49" fontId="16" fillId="9" borderId="49" xfId="0" applyNumberFormat="1" applyFont="1" applyFill="1" applyBorder="1" applyAlignment="1">
      <alignment horizontal="left" vertical="top"/>
    </xf>
    <xf numFmtId="166" fontId="22" fillId="9" borderId="49" xfId="0" applyNumberFormat="1" applyFont="1" applyFill="1" applyBorder="1" applyAlignment="1">
      <alignment horizontal="left" vertical="top"/>
    </xf>
    <xf numFmtId="166" fontId="22" fillId="9" borderId="32" xfId="0" applyNumberFormat="1" applyFont="1" applyFill="1" applyBorder="1" applyAlignment="1">
      <alignment horizontal="left" vertical="top" wrapText="1"/>
    </xf>
    <xf numFmtId="49" fontId="16" fillId="9" borderId="32" xfId="0" applyNumberFormat="1" applyFont="1" applyFill="1" applyBorder="1" applyAlignment="1">
      <alignment horizontal="left" vertical="top"/>
    </xf>
    <xf numFmtId="0" fontId="16" fillId="9" borderId="32" xfId="0" applyFont="1" applyFill="1" applyBorder="1" applyAlignment="1">
      <alignment horizontal="left" vertical="top" wrapText="1"/>
    </xf>
    <xf numFmtId="166" fontId="22" fillId="9" borderId="32" xfId="0" applyNumberFormat="1" applyFont="1" applyFill="1" applyBorder="1" applyAlignment="1">
      <alignment horizontal="left" vertical="top"/>
    </xf>
    <xf numFmtId="166" fontId="23" fillId="9" borderId="32" xfId="1" applyNumberFormat="1" applyFont="1" applyFill="1" applyBorder="1" applyAlignment="1">
      <alignment horizontal="left" vertical="top" wrapText="1"/>
    </xf>
    <xf numFmtId="166" fontId="30" fillId="9" borderId="32" xfId="0" applyNumberFormat="1" applyFont="1" applyFill="1" applyBorder="1" applyAlignment="1">
      <alignment horizontal="left" vertical="top" wrapText="1"/>
    </xf>
    <xf numFmtId="0" fontId="31" fillId="9" borderId="32" xfId="0" applyFont="1" applyFill="1" applyBorder="1" applyAlignment="1">
      <alignment horizontal="left" vertical="top" wrapText="1"/>
    </xf>
    <xf numFmtId="0" fontId="16" fillId="9" borderId="32" xfId="0" applyFont="1" applyFill="1" applyBorder="1"/>
    <xf numFmtId="0" fontId="16" fillId="9" borderId="32" xfId="0" applyFont="1" applyFill="1" applyBorder="1" applyAlignment="1">
      <alignment vertical="top"/>
    </xf>
    <xf numFmtId="167" fontId="30" fillId="9" borderId="32" xfId="0" applyNumberFormat="1" applyFont="1" applyFill="1" applyBorder="1" applyAlignment="1">
      <alignment horizontal="left" vertical="top" wrapText="1"/>
    </xf>
    <xf numFmtId="167" fontId="22" fillId="9" borderId="32" xfId="0" applyNumberFormat="1" applyFont="1" applyFill="1" applyBorder="1" applyAlignment="1">
      <alignment horizontal="left" vertical="top" wrapText="1"/>
    </xf>
    <xf numFmtId="167" fontId="23" fillId="9" borderId="32" xfId="1" applyNumberFormat="1" applyFont="1" applyFill="1" applyBorder="1" applyAlignment="1">
      <alignment horizontal="left" vertical="top" wrapText="1"/>
    </xf>
    <xf numFmtId="0" fontId="16" fillId="9" borderId="36" xfId="0" applyFont="1" applyFill="1" applyBorder="1" applyAlignment="1">
      <alignment horizontal="left" vertical="top"/>
    </xf>
    <xf numFmtId="49" fontId="16" fillId="9" borderId="36" xfId="0" applyNumberFormat="1" applyFont="1" applyFill="1" applyBorder="1" applyAlignment="1">
      <alignment horizontal="left" vertical="top"/>
    </xf>
    <xf numFmtId="0" fontId="16" fillId="9" borderId="36" xfId="0" applyFont="1" applyFill="1" applyBorder="1"/>
    <xf numFmtId="166" fontId="22" fillId="9" borderId="36" xfId="0" applyNumberFormat="1" applyFont="1" applyFill="1" applyBorder="1" applyAlignment="1">
      <alignment horizontal="left" vertical="top"/>
    </xf>
    <xf numFmtId="167" fontId="24" fillId="15" borderId="106" xfId="0" applyNumberFormat="1" applyFont="1" applyFill="1" applyBorder="1" applyAlignment="1">
      <alignment horizontal="left" vertical="top" wrapText="1"/>
    </xf>
    <xf numFmtId="167" fontId="29" fillId="15" borderId="108" xfId="0" applyNumberFormat="1" applyFont="1" applyFill="1" applyBorder="1" applyAlignment="1">
      <alignment horizontal="left" wrapText="1"/>
    </xf>
    <xf numFmtId="0" fontId="21" fillId="0" borderId="0" xfId="0" applyFont="1"/>
    <xf numFmtId="0" fontId="16" fillId="0" borderId="32" xfId="0" applyFont="1" applyBorder="1"/>
    <xf numFmtId="166" fontId="21" fillId="0" borderId="32" xfId="0" applyNumberFormat="1" applyFont="1" applyBorder="1" applyAlignment="1">
      <alignment horizontal="left"/>
    </xf>
    <xf numFmtId="0" fontId="16" fillId="0" borderId="0" xfId="0" applyFont="1" applyAlignment="1">
      <alignment wrapText="1"/>
    </xf>
    <xf numFmtId="166" fontId="21" fillId="11" borderId="32" xfId="0" applyNumberFormat="1" applyFont="1" applyFill="1" applyBorder="1" applyAlignment="1">
      <alignment horizontal="left" vertical="center" wrapText="1"/>
    </xf>
    <xf numFmtId="166" fontId="16" fillId="0" borderId="32" xfId="0" applyNumberFormat="1" applyFont="1" applyBorder="1" applyAlignment="1">
      <alignment horizontal="left" vertical="center" wrapText="1"/>
    </xf>
    <xf numFmtId="166" fontId="16" fillId="18" borderId="36" xfId="0" applyNumberFormat="1" applyFont="1" applyFill="1" applyBorder="1" applyAlignment="1">
      <alignment horizontal="left" vertical="center" wrapText="1"/>
    </xf>
    <xf numFmtId="0" fontId="21" fillId="13" borderId="32" xfId="0" applyFont="1" applyFill="1" applyBorder="1" applyAlignment="1">
      <alignment vertical="center" wrapText="1"/>
    </xf>
    <xf numFmtId="166" fontId="16" fillId="18" borderId="32" xfId="0" applyNumberFormat="1" applyFont="1" applyFill="1" applyBorder="1" applyAlignment="1">
      <alignment horizontal="left" vertical="center" wrapText="1"/>
    </xf>
    <xf numFmtId="0" fontId="25" fillId="11" borderId="55" xfId="0" applyFont="1" applyFill="1" applyBorder="1" applyAlignment="1">
      <alignment vertical="center" wrapText="1"/>
    </xf>
    <xf numFmtId="0" fontId="21" fillId="13" borderId="55" xfId="0" applyFont="1" applyFill="1" applyBorder="1" applyAlignment="1">
      <alignment vertical="center" wrapText="1"/>
    </xf>
    <xf numFmtId="0" fontId="21" fillId="11" borderId="55" xfId="0" applyFont="1" applyFill="1" applyBorder="1" applyAlignment="1">
      <alignment vertical="center" wrapText="1"/>
    </xf>
    <xf numFmtId="0" fontId="21" fillId="0" borderId="32" xfId="0" applyFont="1" applyBorder="1" applyAlignment="1">
      <alignment vertical="center"/>
    </xf>
    <xf numFmtId="166" fontId="16" fillId="0" borderId="32" xfId="0" applyNumberFormat="1" applyFont="1" applyBorder="1" applyAlignment="1">
      <alignment horizontal="left"/>
    </xf>
    <xf numFmtId="0" fontId="25" fillId="0" borderId="32" xfId="0" applyFont="1" applyBorder="1" applyAlignment="1">
      <alignment wrapText="1"/>
    </xf>
    <xf numFmtId="0" fontId="21" fillId="0" borderId="0" xfId="0" applyFont="1" applyAlignment="1">
      <alignment vertical="center"/>
    </xf>
    <xf numFmtId="166" fontId="16" fillId="0" borderId="0" xfId="0" applyNumberFormat="1" applyFont="1" applyAlignment="1">
      <alignment horizontal="left"/>
    </xf>
    <xf numFmtId="166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6" fillId="0" borderId="31" xfId="0" applyFont="1" applyBorder="1"/>
    <xf numFmtId="0" fontId="21" fillId="0" borderId="36" xfId="0" applyFont="1" applyBorder="1" applyAlignment="1">
      <alignment horizontal="center" vertical="center" wrapText="1"/>
    </xf>
    <xf numFmtId="165" fontId="21" fillId="0" borderId="36" xfId="0" applyNumberFormat="1" applyFont="1" applyBorder="1" applyAlignment="1">
      <alignment horizontal="center" vertical="center" wrapText="1"/>
    </xf>
    <xf numFmtId="0" fontId="21" fillId="0" borderId="32" xfId="0" applyFont="1" applyBorder="1" applyAlignment="1">
      <alignment vertical="center" wrapText="1"/>
    </xf>
    <xf numFmtId="0" fontId="33" fillId="11" borderId="32" xfId="0" applyFont="1" applyFill="1" applyBorder="1" applyAlignment="1">
      <alignment vertical="center" wrapText="1"/>
    </xf>
    <xf numFmtId="0" fontId="21" fillId="0" borderId="32" xfId="0" applyFont="1" applyBorder="1" applyAlignment="1">
      <alignment horizontal="center" vertical="center" wrapText="1"/>
    </xf>
    <xf numFmtId="165" fontId="21" fillId="0" borderId="32" xfId="0" applyNumberFormat="1" applyFont="1" applyBorder="1" applyAlignment="1">
      <alignment horizontal="center" vertical="center" wrapText="1"/>
    </xf>
    <xf numFmtId="165" fontId="16" fillId="0" borderId="32" xfId="0" applyNumberFormat="1" applyFont="1" applyBorder="1" applyAlignment="1">
      <alignment horizontal="center" vertical="top" wrapText="1"/>
    </xf>
    <xf numFmtId="0" fontId="21" fillId="23" borderId="32" xfId="0" applyFont="1" applyFill="1" applyBorder="1" applyAlignment="1">
      <alignment vertical="center" wrapText="1"/>
    </xf>
    <xf numFmtId="166" fontId="16" fillId="0" borderId="0" xfId="0" applyNumberFormat="1" applyFont="1"/>
    <xf numFmtId="10" fontId="16" fillId="0" borderId="0" xfId="0" applyNumberFormat="1" applyFont="1"/>
    <xf numFmtId="10" fontId="25" fillId="11" borderId="32" xfId="0" applyNumberFormat="1" applyFont="1" applyFill="1" applyBorder="1" applyAlignment="1">
      <alignment vertical="center" wrapText="1"/>
    </xf>
    <xf numFmtId="166" fontId="16" fillId="16" borderId="32" xfId="0" applyNumberFormat="1" applyFont="1" applyFill="1" applyBorder="1" applyAlignment="1">
      <alignment vertical="center" wrapText="1"/>
    </xf>
    <xf numFmtId="10" fontId="16" fillId="16" borderId="32" xfId="0" applyNumberFormat="1" applyFont="1" applyFill="1" applyBorder="1" applyAlignment="1">
      <alignment vertical="center" wrapText="1"/>
    </xf>
    <xf numFmtId="10" fontId="16" fillId="0" borderId="32" xfId="0" applyNumberFormat="1" applyFont="1" applyBorder="1" applyAlignment="1">
      <alignment vertical="center" wrapText="1"/>
    </xf>
    <xf numFmtId="166" fontId="16" fillId="16" borderId="36" xfId="0" applyNumberFormat="1" applyFont="1" applyFill="1" applyBorder="1" applyAlignment="1">
      <alignment vertical="center" wrapText="1"/>
    </xf>
    <xf numFmtId="166" fontId="25" fillId="16" borderId="36" xfId="0" applyNumberFormat="1" applyFont="1" applyFill="1" applyBorder="1" applyAlignment="1">
      <alignment vertical="center" wrapText="1"/>
    </xf>
    <xf numFmtId="10" fontId="25" fillId="16" borderId="36" xfId="0" applyNumberFormat="1" applyFont="1" applyFill="1" applyBorder="1" applyAlignment="1">
      <alignment vertical="center" wrapText="1"/>
    </xf>
    <xf numFmtId="166" fontId="16" fillId="0" borderId="52" xfId="0" applyNumberFormat="1" applyFont="1" applyBorder="1" applyAlignment="1">
      <alignment vertical="center" wrapText="1"/>
    </xf>
    <xf numFmtId="0" fontId="16" fillId="11" borderId="55" xfId="0" applyFont="1" applyFill="1" applyBorder="1" applyAlignment="1">
      <alignment horizontal="left" vertical="center" wrapText="1"/>
    </xf>
    <xf numFmtId="0" fontId="21" fillId="23" borderId="55" xfId="0" applyFont="1" applyFill="1" applyBorder="1" applyAlignment="1">
      <alignment vertical="center" wrapText="1"/>
    </xf>
    <xf numFmtId="0" fontId="25" fillId="23" borderId="55" xfId="0" applyFont="1" applyFill="1" applyBorder="1" applyAlignment="1">
      <alignment vertical="center" wrapText="1"/>
    </xf>
    <xf numFmtId="166" fontId="0" fillId="0" borderId="0" xfId="0" applyNumberFormat="1"/>
    <xf numFmtId="0" fontId="35" fillId="9" borderId="32" xfId="0" applyFont="1" applyFill="1" applyBorder="1" applyAlignment="1">
      <alignment horizontal="left" vertical="top" wrapText="1"/>
    </xf>
    <xf numFmtId="0" fontId="35" fillId="9" borderId="32" xfId="0" applyFont="1" applyFill="1" applyBorder="1" applyAlignment="1">
      <alignment horizontal="left" vertical="top"/>
    </xf>
    <xf numFmtId="0" fontId="6" fillId="9" borderId="32" xfId="0" applyFont="1" applyFill="1" applyBorder="1" applyAlignment="1">
      <alignment horizontal="left" vertical="top" wrapText="1"/>
    </xf>
    <xf numFmtId="166" fontId="13" fillId="9" borderId="32" xfId="1" applyNumberFormat="1" applyFill="1" applyBorder="1" applyAlignment="1">
      <alignment horizontal="left" vertical="top" wrapText="1"/>
    </xf>
    <xf numFmtId="0" fontId="13" fillId="17" borderId="32" xfId="1" applyFill="1" applyBorder="1" applyAlignment="1">
      <alignment wrapText="1"/>
    </xf>
    <xf numFmtId="0" fontId="13" fillId="0" borderId="32" xfId="1" applyBorder="1" applyAlignment="1">
      <alignment wrapText="1"/>
    </xf>
    <xf numFmtId="0" fontId="19" fillId="17" borderId="32" xfId="0" applyFont="1" applyFill="1" applyBorder="1" applyAlignment="1">
      <alignment vertical="center" wrapText="1"/>
    </xf>
    <xf numFmtId="0" fontId="6" fillId="9" borderId="32" xfId="0" applyFont="1" applyFill="1" applyBorder="1" applyAlignment="1">
      <alignment horizontal="left" vertical="top"/>
    </xf>
    <xf numFmtId="0" fontId="6" fillId="11" borderId="32" xfId="0" applyFont="1" applyFill="1" applyBorder="1" applyAlignment="1">
      <alignment horizontal="left" vertical="top" wrapText="1"/>
    </xf>
    <xf numFmtId="0" fontId="6" fillId="11" borderId="55" xfId="0" applyFont="1" applyFill="1" applyBorder="1" applyAlignment="1">
      <alignment horizontal="left" vertical="top" wrapText="1"/>
    </xf>
    <xf numFmtId="0" fontId="6" fillId="11" borderId="56" xfId="0" applyFont="1" applyFill="1" applyBorder="1" applyAlignment="1">
      <alignment horizontal="left" vertical="top" wrapText="1"/>
    </xf>
    <xf numFmtId="166" fontId="5" fillId="0" borderId="32" xfId="0" applyNumberFormat="1" applyFont="1" applyBorder="1" applyAlignment="1">
      <alignment horizontal="left"/>
    </xf>
    <xf numFmtId="164" fontId="1" fillId="5" borderId="36" xfId="0" applyNumberFormat="1" applyFont="1" applyFill="1" applyBorder="1" applyAlignment="1">
      <alignment vertical="top"/>
    </xf>
    <xf numFmtId="0" fontId="4" fillId="0" borderId="40" xfId="0" applyFont="1" applyBorder="1"/>
    <xf numFmtId="0" fontId="4" fillId="0" borderId="21" xfId="0" applyFont="1" applyBorder="1"/>
    <xf numFmtId="164" fontId="5" fillId="2" borderId="39" xfId="0" applyNumberFormat="1" applyFont="1" applyFill="1" applyBorder="1" applyAlignment="1">
      <alignment vertical="top" wrapText="1"/>
    </xf>
    <xf numFmtId="0" fontId="4" fillId="0" borderId="42" xfId="0" applyFont="1" applyBorder="1"/>
    <xf numFmtId="0" fontId="4" fillId="0" borderId="25" xfId="0" applyFont="1" applyBorder="1"/>
    <xf numFmtId="49" fontId="3" fillId="0" borderId="59" xfId="0" applyNumberFormat="1" applyFont="1" applyBorder="1" applyAlignment="1">
      <alignment horizontal="right" vertical="top" wrapText="1"/>
    </xf>
    <xf numFmtId="0" fontId="4" fillId="0" borderId="60" xfId="0" applyFont="1" applyBorder="1"/>
    <xf numFmtId="49" fontId="3" fillId="2" borderId="59" xfId="0" applyNumberFormat="1" applyFont="1" applyFill="1" applyBorder="1" applyAlignment="1">
      <alignment horizontal="right" vertical="top" wrapText="1"/>
    </xf>
    <xf numFmtId="0" fontId="4" fillId="0" borderId="81" xfId="0" applyFont="1" applyBorder="1"/>
    <xf numFmtId="49" fontId="3" fillId="2" borderId="82" xfId="0" applyNumberFormat="1" applyFont="1" applyFill="1" applyBorder="1" applyAlignment="1">
      <alignment horizontal="right" vertical="top"/>
    </xf>
    <xf numFmtId="0" fontId="4" fillId="0" borderId="83" xfId="0" applyFont="1" applyBorder="1"/>
    <xf numFmtId="0" fontId="4" fillId="0" borderId="84" xfId="0" applyFont="1" applyBorder="1"/>
    <xf numFmtId="49" fontId="3" fillId="2" borderId="88" xfId="0" applyNumberFormat="1" applyFont="1" applyFill="1" applyBorder="1" applyAlignment="1">
      <alignment horizontal="center" wrapText="1"/>
    </xf>
    <xf numFmtId="0" fontId="4" fillId="0" borderId="89" xfId="0" applyFont="1" applyBorder="1"/>
    <xf numFmtId="0" fontId="3" fillId="2" borderId="52" xfId="0" applyFont="1" applyFill="1" applyBorder="1" applyAlignment="1">
      <alignment horizontal="center"/>
    </xf>
    <xf numFmtId="0" fontId="4" fillId="0" borderId="91" xfId="0" applyFont="1" applyBorder="1"/>
    <xf numFmtId="49" fontId="6" fillId="0" borderId="36" xfId="0" applyNumberFormat="1" applyFont="1" applyBorder="1" applyAlignment="1">
      <alignment horizontal="center" vertical="top" wrapText="1"/>
    </xf>
    <xf numFmtId="0" fontId="4" fillId="0" borderId="31" xfId="0" applyFont="1" applyBorder="1"/>
    <xf numFmtId="49" fontId="6" fillId="0" borderId="74" xfId="0" applyNumberFormat="1" applyFont="1" applyBorder="1" applyAlignment="1">
      <alignment horizontal="center" vertical="top" wrapText="1"/>
    </xf>
    <xf numFmtId="0" fontId="4" fillId="0" borderId="65" xfId="0" applyFont="1" applyBorder="1"/>
    <xf numFmtId="49" fontId="6" fillId="0" borderId="75" xfId="0" applyNumberFormat="1" applyFont="1" applyBorder="1" applyAlignment="1">
      <alignment horizontal="center" vertical="top" wrapText="1"/>
    </xf>
    <xf numFmtId="0" fontId="0" fillId="0" borderId="0" xfId="0"/>
    <xf numFmtId="164" fontId="1" fillId="5" borderId="38" xfId="0" applyNumberFormat="1" applyFont="1" applyFill="1" applyBorder="1" applyAlignment="1">
      <alignment vertical="top"/>
    </xf>
    <xf numFmtId="0" fontId="4" fillId="0" borderId="30" xfId="0" applyFont="1" applyBorder="1"/>
    <xf numFmtId="0" fontId="4" fillId="0" borderId="20" xfId="0" applyFont="1" applyBorder="1"/>
    <xf numFmtId="49" fontId="1" fillId="2" borderId="48" xfId="0" applyNumberFormat="1" applyFont="1" applyFill="1" applyBorder="1" applyAlignment="1">
      <alignment horizontal="left" vertical="top" wrapText="1"/>
    </xf>
    <xf numFmtId="0" fontId="4" fillId="0" borderId="11" xfId="0" applyFont="1" applyBorder="1"/>
    <xf numFmtId="49" fontId="1" fillId="2" borderId="64" xfId="0" applyNumberFormat="1" applyFont="1" applyFill="1" applyBorder="1" applyAlignment="1">
      <alignment horizontal="left" vertical="top" wrapText="1"/>
    </xf>
    <xf numFmtId="49" fontId="1" fillId="2" borderId="36" xfId="0" applyNumberFormat="1" applyFont="1" applyFill="1" applyBorder="1" applyAlignment="1">
      <alignment vertical="top" wrapText="1"/>
    </xf>
    <xf numFmtId="49" fontId="1" fillId="2" borderId="36" xfId="0" applyNumberFormat="1" applyFont="1" applyFill="1" applyBorder="1" applyAlignment="1">
      <alignment horizontal="left" vertical="top" wrapText="1"/>
    </xf>
    <xf numFmtId="0" fontId="4" fillId="0" borderId="12" xfId="0" applyFont="1" applyBorder="1"/>
    <xf numFmtId="164" fontId="1" fillId="5" borderId="64" xfId="0" applyNumberFormat="1" applyFont="1" applyFill="1" applyBorder="1" applyAlignment="1">
      <alignment horizontal="center" vertical="top" wrapText="1"/>
    </xf>
    <xf numFmtId="164" fontId="1" fillId="5" borderId="4" xfId="0" applyNumberFormat="1" applyFont="1" applyFill="1" applyBorder="1" applyAlignment="1">
      <alignment horizontal="center" vertical="top" wrapText="1"/>
    </xf>
    <xf numFmtId="49" fontId="1" fillId="2" borderId="36" xfId="0" applyNumberFormat="1" applyFont="1" applyFill="1" applyBorder="1" applyAlignment="1">
      <alignment horizontal="center" vertical="top"/>
    </xf>
    <xf numFmtId="49" fontId="1" fillId="2" borderId="56" xfId="0" applyNumberFormat="1" applyFont="1" applyFill="1" applyBorder="1" applyAlignment="1">
      <alignment horizontal="center" vertical="top"/>
    </xf>
    <xf numFmtId="0" fontId="4" fillId="0" borderId="57" xfId="0" applyFont="1" applyBorder="1"/>
    <xf numFmtId="0" fontId="4" fillId="0" borderId="58" xfId="0" applyFont="1" applyBorder="1"/>
    <xf numFmtId="164" fontId="1" fillId="5" borderId="38" xfId="0" applyNumberFormat="1" applyFont="1" applyFill="1" applyBorder="1" applyAlignment="1">
      <alignment vertical="top" wrapText="1"/>
    </xf>
    <xf numFmtId="0" fontId="4" fillId="0" borderId="34" xfId="0" applyFont="1" applyBorder="1"/>
    <xf numFmtId="164" fontId="1" fillId="5" borderId="36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29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vertical="top" wrapText="1"/>
    </xf>
    <xf numFmtId="0" fontId="6" fillId="0" borderId="36" xfId="0" applyFont="1" applyBorder="1" applyAlignment="1">
      <alignment vertical="top" wrapText="1"/>
    </xf>
    <xf numFmtId="49" fontId="3" fillId="0" borderId="26" xfId="0" applyNumberFormat="1" applyFont="1" applyBorder="1" applyAlignment="1">
      <alignment horizontal="right" vertical="top" wrapText="1"/>
    </xf>
    <xf numFmtId="0" fontId="4" fillId="0" borderId="27" xfId="0" applyFont="1" applyBorder="1"/>
    <xf numFmtId="49" fontId="3" fillId="0" borderId="44" xfId="0" applyNumberFormat="1" applyFont="1" applyBorder="1" applyAlignment="1">
      <alignment horizontal="right" vertical="top" wrapText="1"/>
    </xf>
    <xf numFmtId="0" fontId="4" fillId="0" borderId="45" xfId="0" applyFont="1" applyBorder="1"/>
    <xf numFmtId="0" fontId="4" fillId="0" borderId="46" xfId="0" applyFont="1" applyBorder="1"/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49" fontId="6" fillId="0" borderId="4" xfId="0" applyNumberFormat="1" applyFont="1" applyBorder="1" applyAlignment="1">
      <alignment horizontal="center" vertical="top"/>
    </xf>
    <xf numFmtId="164" fontId="5" fillId="2" borderId="67" xfId="0" applyNumberFormat="1" applyFont="1" applyFill="1" applyBorder="1" applyAlignment="1">
      <alignment horizontal="center" vertical="top" wrapText="1"/>
    </xf>
    <xf numFmtId="0" fontId="4" fillId="0" borderId="69" xfId="0" applyFont="1" applyBorder="1"/>
    <xf numFmtId="0" fontId="4" fillId="0" borderId="73" xfId="0" applyFont="1" applyBorder="1"/>
    <xf numFmtId="0" fontId="4" fillId="0" borderId="70" xfId="0" applyFont="1" applyBorder="1"/>
    <xf numFmtId="0" fontId="4" fillId="0" borderId="71" xfId="0" applyFont="1" applyBorder="1"/>
    <xf numFmtId="164" fontId="1" fillId="5" borderId="76" xfId="0" applyNumberFormat="1" applyFont="1" applyFill="1" applyBorder="1" applyAlignment="1">
      <alignment horizontal="center" vertical="top" wrapText="1"/>
    </xf>
    <xf numFmtId="0" fontId="4" fillId="0" borderId="68" xfId="0" applyFont="1" applyBorder="1"/>
    <xf numFmtId="0" fontId="4" fillId="0" borderId="78" xfId="0" applyFont="1" applyBorder="1"/>
    <xf numFmtId="164" fontId="5" fillId="2" borderId="77" xfId="0" applyNumberFormat="1" applyFont="1" applyFill="1" applyBorder="1" applyAlignment="1">
      <alignment horizontal="center" vertical="top" wrapText="1"/>
    </xf>
    <xf numFmtId="0" fontId="4" fillId="0" borderId="79" xfId="0" applyFont="1" applyBorder="1"/>
    <xf numFmtId="0" fontId="4" fillId="0" borderId="13" xfId="0" applyFont="1" applyBorder="1"/>
    <xf numFmtId="49" fontId="6" fillId="0" borderId="40" xfId="0" applyNumberFormat="1" applyFont="1" applyBorder="1" applyAlignment="1">
      <alignment horizontal="center" vertical="top" wrapText="1"/>
    </xf>
    <xf numFmtId="49" fontId="6" fillId="0" borderId="65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164" fontId="1" fillId="5" borderId="66" xfId="0" applyNumberFormat="1" applyFont="1" applyFill="1" applyBorder="1" applyAlignment="1">
      <alignment horizontal="center" vertical="top" wrapText="1"/>
    </xf>
    <xf numFmtId="0" fontId="4" fillId="0" borderId="72" xfId="0" applyFont="1" applyBorder="1"/>
    <xf numFmtId="49" fontId="6" fillId="0" borderId="37" xfId="0" applyNumberFormat="1" applyFont="1" applyBorder="1" applyAlignment="1">
      <alignment horizontal="center" vertical="top" wrapText="1"/>
    </xf>
    <xf numFmtId="0" fontId="4" fillId="0" borderId="41" xfId="0" applyFont="1" applyBorder="1"/>
    <xf numFmtId="0" fontId="4" fillId="0" borderId="33" xfId="0" applyFont="1" applyBorder="1"/>
    <xf numFmtId="164" fontId="1" fillId="5" borderId="3" xfId="0" applyNumberFormat="1" applyFont="1" applyFill="1" applyBorder="1" applyAlignment="1">
      <alignment vertical="top" wrapText="1"/>
    </xf>
    <xf numFmtId="164" fontId="1" fillId="5" borderId="4" xfId="0" applyNumberFormat="1" applyFont="1" applyFill="1" applyBorder="1" applyAlignment="1">
      <alignment horizontal="right" vertical="top" wrapText="1"/>
    </xf>
    <xf numFmtId="49" fontId="1" fillId="2" borderId="36" xfId="0" applyNumberFormat="1" applyFont="1" applyFill="1" applyBorder="1" applyAlignment="1">
      <alignment horizontal="left" vertical="top"/>
    </xf>
    <xf numFmtId="164" fontId="5" fillId="2" borderId="5" xfId="0" applyNumberFormat="1" applyFont="1" applyFill="1" applyBorder="1" applyAlignment="1">
      <alignment vertical="top" wrapText="1"/>
    </xf>
    <xf numFmtId="0" fontId="4" fillId="0" borderId="35" xfId="0" applyFont="1" applyBorder="1"/>
    <xf numFmtId="0" fontId="6" fillId="0" borderId="37" xfId="0" applyFont="1" applyBorder="1" applyAlignment="1">
      <alignment horizontal="center" vertical="center"/>
    </xf>
    <xf numFmtId="0" fontId="4" fillId="0" borderId="43" xfId="0" applyFont="1" applyBorder="1"/>
    <xf numFmtId="164" fontId="1" fillId="5" borderId="38" xfId="0" applyNumberFormat="1" applyFont="1" applyFill="1" applyBorder="1" applyAlignment="1">
      <alignment horizontal="center" vertical="top" wrapText="1"/>
    </xf>
    <xf numFmtId="164" fontId="1" fillId="5" borderId="36" xfId="0" applyNumberFormat="1" applyFont="1" applyFill="1" applyBorder="1" applyAlignment="1">
      <alignment horizontal="center" vertical="top" wrapText="1"/>
    </xf>
    <xf numFmtId="164" fontId="5" fillId="2" borderId="39" xfId="0" applyNumberFormat="1" applyFont="1" applyFill="1" applyBorder="1" applyAlignment="1">
      <alignment horizontal="center" vertical="top" wrapText="1"/>
    </xf>
    <xf numFmtId="49" fontId="6" fillId="0" borderId="29" xfId="0" applyNumberFormat="1" applyFont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2" borderId="19" xfId="0" applyNumberFormat="1" applyFont="1" applyFill="1" applyBorder="1" applyAlignment="1">
      <alignment horizontal="center" vertical="top" wrapText="1"/>
    </xf>
    <xf numFmtId="0" fontId="4" fillId="0" borderId="24" xfId="0" applyFont="1" applyBorder="1"/>
    <xf numFmtId="49" fontId="3" fillId="5" borderId="6" xfId="0" applyNumberFormat="1" applyFont="1" applyFill="1" applyBorder="1" applyAlignment="1">
      <alignment horizontal="center" vertical="top" wrapText="1"/>
    </xf>
    <xf numFmtId="0" fontId="4" fillId="0" borderId="9" xfId="0" applyFont="1" applyBorder="1"/>
    <xf numFmtId="0" fontId="4" fillId="0" borderId="7" xfId="0" applyFont="1" applyBorder="1"/>
    <xf numFmtId="49" fontId="5" fillId="2" borderId="5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top" wrapText="1"/>
    </xf>
    <xf numFmtId="0" fontId="4" fillId="0" borderId="10" xfId="0" applyFont="1" applyBorder="1"/>
    <xf numFmtId="49" fontId="27" fillId="7" borderId="100" xfId="0" applyNumberFormat="1" applyFont="1" applyFill="1" applyBorder="1" applyAlignment="1">
      <alignment horizontal="left" vertical="top"/>
    </xf>
    <xf numFmtId="0" fontId="22" fillId="0" borderId="99" xfId="0" applyFont="1" applyBorder="1"/>
    <xf numFmtId="0" fontId="22" fillId="0" borderId="60" xfId="0" applyFont="1" applyBorder="1"/>
    <xf numFmtId="0" fontId="22" fillId="0" borderId="81" xfId="0" applyFont="1" applyBorder="1"/>
    <xf numFmtId="166" fontId="27" fillId="7" borderId="100" xfId="0" applyNumberFormat="1" applyFont="1" applyFill="1" applyBorder="1" applyAlignment="1">
      <alignment horizontal="left" vertical="top" wrapText="1"/>
    </xf>
    <xf numFmtId="0" fontId="22" fillId="0" borderId="101" xfId="0" applyFont="1" applyBorder="1"/>
    <xf numFmtId="49" fontId="24" fillId="15" borderId="110" xfId="0" applyNumberFormat="1" applyFont="1" applyFill="1" applyBorder="1" applyAlignment="1">
      <alignment horizontal="center" vertical="center"/>
    </xf>
    <xf numFmtId="49" fontId="24" fillId="15" borderId="111" xfId="0" applyNumberFormat="1" applyFont="1" applyFill="1" applyBorder="1" applyAlignment="1">
      <alignment horizontal="center" vertical="center"/>
    </xf>
    <xf numFmtId="49" fontId="24" fillId="15" borderId="112" xfId="0" applyNumberFormat="1" applyFont="1" applyFill="1" applyBorder="1" applyAlignment="1">
      <alignment horizontal="center" vertical="center"/>
    </xf>
    <xf numFmtId="49" fontId="24" fillId="15" borderId="114" xfId="0" applyNumberFormat="1" applyFont="1" applyFill="1" applyBorder="1" applyAlignment="1">
      <alignment horizontal="center" vertical="center"/>
    </xf>
    <xf numFmtId="49" fontId="24" fillId="15" borderId="108" xfId="0" applyNumberFormat="1" applyFont="1" applyFill="1" applyBorder="1" applyAlignment="1">
      <alignment horizontal="center" vertical="center"/>
    </xf>
    <xf numFmtId="49" fontId="24" fillId="15" borderId="116" xfId="0" applyNumberFormat="1" applyFont="1" applyFill="1" applyBorder="1" applyAlignment="1">
      <alignment horizontal="center" vertical="center"/>
    </xf>
    <xf numFmtId="166" fontId="21" fillId="15" borderId="113" xfId="0" applyNumberFormat="1" applyFont="1" applyFill="1" applyBorder="1" applyAlignment="1">
      <alignment horizontal="left"/>
    </xf>
    <xf numFmtId="166" fontId="21" fillId="15" borderId="115" xfId="0" applyNumberFormat="1" applyFont="1" applyFill="1" applyBorder="1" applyAlignment="1">
      <alignment horizontal="left"/>
    </xf>
    <xf numFmtId="166" fontId="24" fillId="15" borderId="113" xfId="0" applyNumberFormat="1" applyFont="1" applyFill="1" applyBorder="1" applyAlignment="1">
      <alignment horizontal="left" wrapText="1"/>
    </xf>
    <xf numFmtId="166" fontId="24" fillId="15" borderId="115" xfId="0" applyNumberFormat="1" applyFont="1" applyFill="1" applyBorder="1" applyAlignment="1">
      <alignment horizontal="left" wrapText="1"/>
    </xf>
    <xf numFmtId="0" fontId="11" fillId="0" borderId="0" xfId="0" applyFont="1" applyAlignment="1">
      <alignment horizontal="left" vertical="center"/>
    </xf>
    <xf numFmtId="166" fontId="9" fillId="11" borderId="36" xfId="0" applyNumberFormat="1" applyFont="1" applyFill="1" applyBorder="1" applyAlignment="1">
      <alignment vertical="center" wrapText="1"/>
    </xf>
    <xf numFmtId="166" fontId="9" fillId="21" borderId="56" xfId="0" applyNumberFormat="1" applyFont="1" applyFill="1" applyBorder="1" applyAlignment="1">
      <alignment vertical="center" wrapText="1"/>
    </xf>
    <xf numFmtId="0" fontId="4" fillId="22" borderId="104" xfId="0" applyFont="1" applyFill="1" applyBorder="1"/>
    <xf numFmtId="9" fontId="9" fillId="11" borderId="74" xfId="0" applyNumberFormat="1" applyFont="1" applyFill="1" applyBorder="1" applyAlignment="1">
      <alignment vertical="center" wrapText="1"/>
    </xf>
    <xf numFmtId="0" fontId="0" fillId="16" borderId="117" xfId="0" applyFill="1" applyBorder="1" applyAlignment="1">
      <alignment horizontal="center"/>
    </xf>
    <xf numFmtId="0" fontId="21" fillId="0" borderId="52" xfId="0" applyFont="1" applyBorder="1"/>
    <xf numFmtId="0" fontId="22" fillId="0" borderId="103" xfId="0" applyFont="1" applyBorder="1"/>
    <xf numFmtId="0" fontId="22" fillId="0" borderId="91" xfId="0" applyFont="1" applyBorder="1"/>
    <xf numFmtId="0" fontId="25" fillId="0" borderId="52" xfId="0" applyFont="1" applyBorder="1" applyAlignment="1">
      <alignment horizontal="left" vertical="center" wrapText="1"/>
    </xf>
    <xf numFmtId="0" fontId="9" fillId="11" borderId="36" xfId="0" applyFont="1" applyFill="1" applyBorder="1" applyAlignment="1">
      <alignment vertical="center" wrapText="1"/>
    </xf>
    <xf numFmtId="0" fontId="21" fillId="10" borderId="52" xfId="0" applyFont="1" applyFill="1" applyBorder="1" applyAlignment="1">
      <alignment horizontal="center"/>
    </xf>
    <xf numFmtId="0" fontId="21" fillId="0" borderId="33" xfId="0" applyFont="1" applyBorder="1" applyAlignment="1">
      <alignment horizontal="left"/>
    </xf>
    <xf numFmtId="0" fontId="22" fillId="0" borderId="71" xfId="0" applyFont="1" applyBorder="1"/>
    <xf numFmtId="0" fontId="22" fillId="0" borderId="70" xfId="0" applyFont="1" applyBorder="1"/>
    <xf numFmtId="0" fontId="21" fillId="0" borderId="52" xfId="0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16" fillId="0" borderId="0" xfId="0" applyFont="1"/>
    <xf numFmtId="0" fontId="22" fillId="0" borderId="105" xfId="0" applyFont="1" applyBorder="1"/>
    <xf numFmtId="0" fontId="25" fillId="0" borderId="0" xfId="0" applyFont="1" applyAlignment="1">
      <alignment horizontal="left" vertical="center" wrapText="1"/>
    </xf>
    <xf numFmtId="166" fontId="16" fillId="0" borderId="36" xfId="0" applyNumberFormat="1" applyFont="1" applyBorder="1" applyAlignment="1">
      <alignment horizontal="left" vertical="center" wrapText="1"/>
    </xf>
    <xf numFmtId="166" fontId="22" fillId="0" borderId="40" xfId="0" applyNumberFormat="1" applyFont="1" applyBorder="1" applyAlignment="1">
      <alignment horizontal="left"/>
    </xf>
    <xf numFmtId="166" fontId="22" fillId="0" borderId="31" xfId="0" applyNumberFormat="1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21" fillId="6" borderId="88" xfId="0" applyFont="1" applyFill="1" applyBorder="1" applyAlignment="1">
      <alignment horizontal="center"/>
    </xf>
    <xf numFmtId="0" fontId="22" fillId="0" borderId="106" xfId="0" applyFont="1" applyBorder="1"/>
    <xf numFmtId="0" fontId="22" fillId="0" borderId="89" xfId="0" applyFont="1" applyBorder="1"/>
    <xf numFmtId="0" fontId="5" fillId="0" borderId="52" xfId="0" applyFont="1" applyBorder="1"/>
    <xf numFmtId="10" fontId="21" fillId="11" borderId="36" xfId="0" applyNumberFormat="1" applyFont="1" applyFill="1" applyBorder="1" applyAlignment="1">
      <alignment horizontal="center" vertical="center" wrapText="1"/>
    </xf>
    <xf numFmtId="10" fontId="22" fillId="0" borderId="31" xfId="0" applyNumberFormat="1" applyFont="1" applyBorder="1"/>
    <xf numFmtId="166" fontId="16" fillId="16" borderId="36" xfId="0" applyNumberFormat="1" applyFont="1" applyFill="1" applyBorder="1" applyAlignment="1">
      <alignment vertical="center" wrapText="1"/>
    </xf>
    <xf numFmtId="0" fontId="22" fillId="16" borderId="31" xfId="0" applyFont="1" applyFill="1" applyBorder="1"/>
    <xf numFmtId="166" fontId="25" fillId="0" borderId="0" xfId="0" applyNumberFormat="1" applyFont="1" applyAlignment="1">
      <alignment vertical="center" wrapText="1"/>
    </xf>
    <xf numFmtId="0" fontId="21" fillId="11" borderId="36" xfId="0" applyFont="1" applyFill="1" applyBorder="1" applyAlignment="1">
      <alignment horizontal="center" vertical="center" wrapText="1"/>
    </xf>
    <xf numFmtId="0" fontId="22" fillId="0" borderId="31" xfId="0" applyFont="1" applyBorder="1"/>
    <xf numFmtId="166" fontId="21" fillId="11" borderId="36" xfId="0" applyNumberFormat="1" applyFont="1" applyFill="1" applyBorder="1" applyAlignment="1">
      <alignment horizontal="center" vertical="center" wrapText="1"/>
    </xf>
    <xf numFmtId="10" fontId="16" fillId="16" borderId="36" xfId="0" applyNumberFormat="1" applyFont="1" applyFill="1" applyBorder="1" applyAlignment="1">
      <alignment vertical="center" wrapText="1"/>
    </xf>
    <xf numFmtId="10" fontId="22" fillId="16" borderId="31" xfId="0" applyNumberFormat="1" applyFont="1" applyFill="1" applyBorder="1"/>
    <xf numFmtId="166" fontId="16" fillId="11" borderId="36" xfId="0" applyNumberFormat="1" applyFont="1" applyFill="1" applyBorder="1" applyAlignment="1">
      <alignment vertical="center" wrapText="1"/>
    </xf>
    <xf numFmtId="166" fontId="16" fillId="14" borderId="36" xfId="0" applyNumberFormat="1" applyFont="1" applyFill="1" applyBorder="1" applyAlignment="1">
      <alignment vertical="center" wrapText="1"/>
    </xf>
    <xf numFmtId="10" fontId="16" fillId="11" borderId="36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VQtyr7AXdiVotWmxgNo4LdfyX6nrc14/view?usp=sharing" TargetMode="External"/><Relationship Id="rId2" Type="http://schemas.openxmlformats.org/officeDocument/2006/relationships/hyperlink" Target="http://apple.com/Bil" TargetMode="External"/><Relationship Id="rId1" Type="http://schemas.openxmlformats.org/officeDocument/2006/relationships/hyperlink" Target="http://sisanda.com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VQtyr7AXdiVotWmxgNo4LdfyX6nrc14/view?usp=sharing" TargetMode="External"/><Relationship Id="rId2" Type="http://schemas.openxmlformats.org/officeDocument/2006/relationships/hyperlink" Target="https://drive.google.com/file/d/1rHCW3M-RDxL2_y-eoMklQJXRwQye6Tb3/view?usp=drive_link" TargetMode="External"/><Relationship Id="rId1" Type="http://schemas.openxmlformats.org/officeDocument/2006/relationships/hyperlink" Target="https://drive.google.com/file/d/17ZrGKJxsQAJ4TKUtzxKRohzbZU8BRphe/view?usp=drive_link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rive.google.com/file/d/1qVQtyr7AXdiVotWmxgNo4LdfyX6nrc14/view?usp=sharing" TargetMode="External"/><Relationship Id="rId4" Type="http://schemas.openxmlformats.org/officeDocument/2006/relationships/hyperlink" Target="https://drive.google.com/file/d/1qVQtyr7AXdiVotWmxgNo4LdfyX6nrc14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E25" zoomScale="70" zoomScaleNormal="70" workbookViewId="0">
      <selection activeCell="M15" sqref="M15"/>
    </sheetView>
  </sheetViews>
  <sheetFormatPr defaultColWidth="14.453125" defaultRowHeight="15" customHeight="1" x14ac:dyDescent="0.35"/>
  <cols>
    <col min="1" max="1" width="14.453125" customWidth="1"/>
    <col min="2" max="2" width="17.81640625" customWidth="1"/>
    <col min="3" max="3" width="27.453125" customWidth="1"/>
    <col min="4" max="4" width="37.1796875" customWidth="1"/>
    <col min="5" max="5" width="7" customWidth="1"/>
    <col min="6" max="6" width="40.7265625" customWidth="1"/>
    <col min="7" max="7" width="36.26953125" customWidth="1"/>
    <col min="8" max="8" width="24" hidden="1" customWidth="1"/>
    <col min="9" max="9" width="14.453125" customWidth="1"/>
    <col min="10" max="10" width="16.453125" customWidth="1"/>
    <col min="11" max="11" width="10.81640625" customWidth="1"/>
    <col min="12" max="16" width="19.54296875" customWidth="1"/>
  </cols>
  <sheetData>
    <row r="1" spans="1:26" ht="16.5" customHeight="1" x14ac:dyDescent="0.35">
      <c r="A1" s="1"/>
      <c r="B1" s="2"/>
      <c r="C1" s="3"/>
      <c r="D1" s="3"/>
      <c r="E1" s="4"/>
      <c r="F1" s="4"/>
      <c r="G1" s="3"/>
      <c r="H1" s="3"/>
      <c r="I1" s="5"/>
      <c r="J1" s="5"/>
      <c r="K1" s="5"/>
      <c r="L1" s="4"/>
      <c r="M1" s="4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/>
      <c r="B2" s="357" t="s">
        <v>0</v>
      </c>
      <c r="C2" s="358" t="s">
        <v>1</v>
      </c>
      <c r="D2" s="359" t="s">
        <v>2</v>
      </c>
      <c r="E2" s="360" t="s">
        <v>3</v>
      </c>
      <c r="F2" s="355"/>
      <c r="G2" s="361" t="s">
        <v>4</v>
      </c>
      <c r="H2" s="361" t="s">
        <v>5</v>
      </c>
      <c r="I2" s="362" t="s">
        <v>6</v>
      </c>
      <c r="J2" s="354"/>
      <c r="K2" s="363"/>
      <c r="L2" s="353" t="s">
        <v>7</v>
      </c>
      <c r="M2" s="354"/>
      <c r="N2" s="354"/>
      <c r="O2" s="355"/>
      <c r="P2" s="356" t="s">
        <v>8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5">
      <c r="A3" s="1"/>
      <c r="B3" s="293"/>
      <c r="C3" s="297"/>
      <c r="D3" s="330"/>
      <c r="E3" s="6" t="s">
        <v>9</v>
      </c>
      <c r="F3" s="7" t="s">
        <v>10</v>
      </c>
      <c r="G3" s="297"/>
      <c r="H3" s="297"/>
      <c r="I3" s="8" t="s">
        <v>11</v>
      </c>
      <c r="J3" s="8" t="s">
        <v>12</v>
      </c>
      <c r="K3" s="9" t="s">
        <v>13</v>
      </c>
      <c r="L3" s="10" t="s">
        <v>14</v>
      </c>
      <c r="M3" s="11" t="s">
        <v>15</v>
      </c>
      <c r="N3" s="11" t="s">
        <v>16</v>
      </c>
      <c r="O3" s="11" t="s">
        <v>17</v>
      </c>
      <c r="P3" s="330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5">
      <c r="A4" s="1"/>
      <c r="B4" s="307" t="s">
        <v>18</v>
      </c>
      <c r="C4" s="316" t="s">
        <v>19</v>
      </c>
      <c r="D4" s="316" t="s">
        <v>20</v>
      </c>
      <c r="E4" s="12" t="s">
        <v>21</v>
      </c>
      <c r="F4" s="13" t="s">
        <v>22</v>
      </c>
      <c r="G4" s="14" t="s">
        <v>23</v>
      </c>
      <c r="H4" s="316" t="s">
        <v>24</v>
      </c>
      <c r="I4" s="350" t="s">
        <v>25</v>
      </c>
      <c r="J4" s="350" t="s">
        <v>25</v>
      </c>
      <c r="K4" s="351" t="s">
        <v>26</v>
      </c>
      <c r="L4" s="339">
        <v>0</v>
      </c>
      <c r="M4" s="340">
        <v>0</v>
      </c>
      <c r="N4" s="340">
        <v>0</v>
      </c>
      <c r="O4" s="340">
        <v>0</v>
      </c>
      <c r="P4" s="342">
        <f>SUM(L4:O4)</f>
        <v>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291"/>
      <c r="C5" s="268"/>
      <c r="D5" s="268"/>
      <c r="E5" s="15" t="s">
        <v>27</v>
      </c>
      <c r="F5" s="16" t="s">
        <v>28</v>
      </c>
      <c r="G5" s="17" t="s">
        <v>29</v>
      </c>
      <c r="H5" s="268"/>
      <c r="I5" s="268"/>
      <c r="J5" s="268"/>
      <c r="K5" s="352"/>
      <c r="L5" s="291"/>
      <c r="M5" s="268"/>
      <c r="N5" s="268"/>
      <c r="O5" s="268"/>
      <c r="P5" s="27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1"/>
      <c r="B6" s="311" t="s">
        <v>30</v>
      </c>
      <c r="C6" s="312"/>
      <c r="D6" s="312"/>
      <c r="E6" s="312"/>
      <c r="F6" s="312"/>
      <c r="G6" s="312"/>
      <c r="H6" s="312"/>
      <c r="I6" s="312"/>
      <c r="J6" s="312"/>
      <c r="K6" s="312"/>
      <c r="L6" s="18">
        <f t="shared" ref="L6:P6" si="0">SUM(L4)</f>
        <v>0</v>
      </c>
      <c r="M6" s="19">
        <f t="shared" si="0"/>
        <v>0</v>
      </c>
      <c r="N6" s="19">
        <f t="shared" si="0"/>
        <v>0</v>
      </c>
      <c r="O6" s="19">
        <f t="shared" si="0"/>
        <v>0</v>
      </c>
      <c r="P6" s="20">
        <f t="shared" si="0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308" t="s">
        <v>31</v>
      </c>
      <c r="C7" s="309" t="s">
        <v>32</v>
      </c>
      <c r="D7" s="309" t="s">
        <v>33</v>
      </c>
      <c r="E7" s="13" t="s">
        <v>34</v>
      </c>
      <c r="F7" s="14" t="s">
        <v>35</v>
      </c>
      <c r="G7" s="317" t="s">
        <v>36</v>
      </c>
      <c r="H7" s="318" t="s">
        <v>37</v>
      </c>
      <c r="I7" s="319" t="s">
        <v>25</v>
      </c>
      <c r="J7" s="319" t="s">
        <v>25</v>
      </c>
      <c r="K7" s="349" t="s">
        <v>26</v>
      </c>
      <c r="L7" s="339">
        <v>0</v>
      </c>
      <c r="M7" s="340">
        <v>0</v>
      </c>
      <c r="N7" s="340">
        <v>0</v>
      </c>
      <c r="O7" s="340">
        <v>0</v>
      </c>
      <c r="P7" s="342">
        <f>SUM(L7:O7)</f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5">
      <c r="A8" s="1"/>
      <c r="B8" s="290"/>
      <c r="C8" s="284"/>
      <c r="D8" s="284"/>
      <c r="E8" s="21" t="s">
        <v>38</v>
      </c>
      <c r="F8" s="22" t="s">
        <v>39</v>
      </c>
      <c r="G8" s="284"/>
      <c r="H8" s="284"/>
      <c r="I8" s="284"/>
      <c r="J8" s="284"/>
      <c r="K8" s="338"/>
      <c r="L8" s="305"/>
      <c r="M8" s="284"/>
      <c r="N8" s="284"/>
      <c r="O8" s="284"/>
      <c r="P8" s="34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1"/>
      <c r="B9" s="290"/>
      <c r="C9" s="295" t="s">
        <v>40</v>
      </c>
      <c r="D9" s="295" t="s">
        <v>41</v>
      </c>
      <c r="E9" s="21" t="s">
        <v>42</v>
      </c>
      <c r="F9" s="22" t="s">
        <v>43</v>
      </c>
      <c r="G9" s="23" t="s">
        <v>44</v>
      </c>
      <c r="H9" s="24"/>
      <c r="I9" s="25" t="s">
        <v>25</v>
      </c>
      <c r="J9" s="25" t="s">
        <v>45</v>
      </c>
      <c r="K9" s="344" t="s">
        <v>46</v>
      </c>
      <c r="L9" s="346">
        <v>0</v>
      </c>
      <c r="M9" s="347">
        <v>20000</v>
      </c>
      <c r="N9" s="347">
        <v>20000</v>
      </c>
      <c r="O9" s="347">
        <v>10000</v>
      </c>
      <c r="P9" s="348">
        <f>SUM(L9:O9)</f>
        <v>50000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5">
      <c r="A10" s="1"/>
      <c r="B10" s="290"/>
      <c r="C10" s="267"/>
      <c r="D10" s="267"/>
      <c r="E10" s="21" t="s">
        <v>47</v>
      </c>
      <c r="F10" s="22" t="s">
        <v>48</v>
      </c>
      <c r="G10" s="26" t="s">
        <v>49</v>
      </c>
      <c r="H10" s="24"/>
      <c r="I10" s="25" t="s">
        <v>50</v>
      </c>
      <c r="J10" s="25" t="s">
        <v>51</v>
      </c>
      <c r="K10" s="337"/>
      <c r="L10" s="290"/>
      <c r="M10" s="267"/>
      <c r="N10" s="267"/>
      <c r="O10" s="267"/>
      <c r="P10" s="27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291"/>
      <c r="C11" s="268"/>
      <c r="D11" s="268"/>
      <c r="E11" s="16" t="s">
        <v>52</v>
      </c>
      <c r="F11" s="17" t="s">
        <v>53</v>
      </c>
      <c r="G11" s="27" t="s">
        <v>54</v>
      </c>
      <c r="H11" s="28"/>
      <c r="I11" s="29" t="s">
        <v>55</v>
      </c>
      <c r="J11" s="29" t="s">
        <v>56</v>
      </c>
      <c r="K11" s="345"/>
      <c r="L11" s="291"/>
      <c r="M11" s="268"/>
      <c r="N11" s="268"/>
      <c r="O11" s="268"/>
      <c r="P11" s="27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5">
      <c r="A12" s="1"/>
      <c r="B12" s="313" t="s">
        <v>57</v>
      </c>
      <c r="C12" s="314"/>
      <c r="D12" s="314"/>
      <c r="E12" s="314"/>
      <c r="F12" s="314"/>
      <c r="G12" s="314"/>
      <c r="H12" s="314"/>
      <c r="I12" s="314"/>
      <c r="J12" s="314"/>
      <c r="K12" s="315"/>
      <c r="L12" s="30">
        <f t="shared" ref="L12:P12" si="1">SUM(L7:L11)</f>
        <v>0</v>
      </c>
      <c r="M12" s="31">
        <f t="shared" si="1"/>
        <v>20000</v>
      </c>
      <c r="N12" s="31">
        <f t="shared" si="1"/>
        <v>20000</v>
      </c>
      <c r="O12" s="31">
        <f t="shared" si="1"/>
        <v>10000</v>
      </c>
      <c r="P12" s="32">
        <f t="shared" si="1"/>
        <v>50000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292" t="s">
        <v>58</v>
      </c>
      <c r="C13" s="316" t="s">
        <v>59</v>
      </c>
      <c r="D13" s="316" t="s">
        <v>60</v>
      </c>
      <c r="E13" s="33" t="s">
        <v>61</v>
      </c>
      <c r="F13" s="34" t="s">
        <v>62</v>
      </c>
      <c r="G13" s="34" t="s">
        <v>63</v>
      </c>
      <c r="H13" s="34" t="s">
        <v>37</v>
      </c>
      <c r="I13" s="35" t="s">
        <v>45</v>
      </c>
      <c r="J13" s="35" t="s">
        <v>45</v>
      </c>
      <c r="K13" s="36" t="s">
        <v>64</v>
      </c>
      <c r="L13" s="37">
        <v>0</v>
      </c>
      <c r="M13" s="38"/>
      <c r="N13" s="38">
        <v>0</v>
      </c>
      <c r="O13" s="38">
        <v>0</v>
      </c>
      <c r="P13" s="39">
        <f t="shared" ref="P13:P17" si="2">SUM(L13:O13)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5">
      <c r="A14" s="1"/>
      <c r="B14" s="290"/>
      <c r="C14" s="267"/>
      <c r="D14" s="267"/>
      <c r="E14" s="33" t="s">
        <v>65</v>
      </c>
      <c r="F14" s="22" t="s">
        <v>66</v>
      </c>
      <c r="G14" s="22" t="s">
        <v>67</v>
      </c>
      <c r="H14" s="22" t="s">
        <v>68</v>
      </c>
      <c r="I14" s="35" t="s">
        <v>45</v>
      </c>
      <c r="J14" s="35" t="s">
        <v>45</v>
      </c>
      <c r="K14" s="36" t="s">
        <v>69</v>
      </c>
      <c r="L14" s="37">
        <v>0</v>
      </c>
      <c r="M14" s="38"/>
      <c r="N14" s="38">
        <v>0</v>
      </c>
      <c r="O14" s="38">
        <v>0</v>
      </c>
      <c r="P14" s="39">
        <f t="shared" si="2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5">
      <c r="A15" s="1"/>
      <c r="B15" s="290"/>
      <c r="C15" s="267"/>
      <c r="D15" s="267"/>
      <c r="E15" s="33" t="s">
        <v>70</v>
      </c>
      <c r="F15" s="22" t="s">
        <v>71</v>
      </c>
      <c r="G15" s="22" t="s">
        <v>72</v>
      </c>
      <c r="H15" s="22" t="s">
        <v>37</v>
      </c>
      <c r="I15" s="40" t="s">
        <v>45</v>
      </c>
      <c r="J15" s="40" t="s">
        <v>45</v>
      </c>
      <c r="K15" s="41" t="s">
        <v>64</v>
      </c>
      <c r="L15" s="42">
        <v>506664</v>
      </c>
      <c r="M15" s="43"/>
      <c r="N15" s="43"/>
      <c r="O15" s="43"/>
      <c r="P15" s="44">
        <f t="shared" si="2"/>
        <v>506664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5">
      <c r="A16" s="1"/>
      <c r="B16" s="290"/>
      <c r="C16" s="267"/>
      <c r="D16" s="267"/>
      <c r="E16" s="33" t="s">
        <v>73</v>
      </c>
      <c r="F16" s="22" t="s">
        <v>74</v>
      </c>
      <c r="G16" s="45" t="s">
        <v>75</v>
      </c>
      <c r="H16" s="21" t="s">
        <v>76</v>
      </c>
      <c r="I16" s="46" t="s">
        <v>45</v>
      </c>
      <c r="J16" s="46" t="s">
        <v>45</v>
      </c>
      <c r="K16" s="47" t="s">
        <v>64</v>
      </c>
      <c r="L16" s="48">
        <v>402336</v>
      </c>
      <c r="M16" s="49"/>
      <c r="N16" s="49">
        <v>0</v>
      </c>
      <c r="O16" s="49">
        <v>0</v>
      </c>
      <c r="P16" s="44">
        <f t="shared" si="2"/>
        <v>402336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290"/>
      <c r="C17" s="267"/>
      <c r="D17" s="267"/>
      <c r="E17" s="33" t="s">
        <v>77</v>
      </c>
      <c r="F17" s="22" t="s">
        <v>78</v>
      </c>
      <c r="G17" s="21" t="s">
        <v>79</v>
      </c>
      <c r="H17" s="50" t="s">
        <v>80</v>
      </c>
      <c r="I17" s="46" t="s">
        <v>45</v>
      </c>
      <c r="J17" s="46" t="s">
        <v>45</v>
      </c>
      <c r="K17" s="47" t="s">
        <v>64</v>
      </c>
      <c r="L17" s="48">
        <v>0</v>
      </c>
      <c r="M17" s="49"/>
      <c r="N17" s="49">
        <v>0</v>
      </c>
      <c r="O17" s="49">
        <v>0</v>
      </c>
      <c r="P17" s="44">
        <f t="shared" si="2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1"/>
      <c r="B18" s="290"/>
      <c r="C18" s="284"/>
      <c r="D18" s="284"/>
      <c r="E18" s="33" t="s">
        <v>81</v>
      </c>
      <c r="F18" s="22" t="s">
        <v>82</v>
      </c>
      <c r="G18" s="21" t="s">
        <v>83</v>
      </c>
      <c r="H18" s="50" t="s">
        <v>37</v>
      </c>
      <c r="I18" s="46" t="s">
        <v>45</v>
      </c>
      <c r="J18" s="46" t="s">
        <v>45</v>
      </c>
      <c r="K18" s="47" t="s">
        <v>64</v>
      </c>
      <c r="L18" s="48"/>
      <c r="M18" s="49"/>
      <c r="N18" s="49"/>
      <c r="O18" s="49"/>
      <c r="P18" s="4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5">
      <c r="A19" s="1"/>
      <c r="B19" s="290"/>
      <c r="C19" s="296" t="s">
        <v>84</v>
      </c>
      <c r="D19" s="296" t="s">
        <v>85</v>
      </c>
      <c r="E19" s="21" t="s">
        <v>86</v>
      </c>
      <c r="F19" s="22" t="s">
        <v>87</v>
      </c>
      <c r="G19" s="21" t="s">
        <v>88</v>
      </c>
      <c r="H19" s="50" t="s">
        <v>37</v>
      </c>
      <c r="I19" s="300" t="s">
        <v>50</v>
      </c>
      <c r="J19" s="300" t="s">
        <v>50</v>
      </c>
      <c r="K19" s="301" t="s">
        <v>26</v>
      </c>
      <c r="L19" s="304">
        <v>5000</v>
      </c>
      <c r="M19" s="306">
        <v>0</v>
      </c>
      <c r="N19" s="306">
        <v>0</v>
      </c>
      <c r="O19" s="306">
        <v>0</v>
      </c>
      <c r="P19" s="269">
        <f>SUM(L19:O19)</f>
        <v>5000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1"/>
      <c r="B20" s="290"/>
      <c r="C20" s="267"/>
      <c r="D20" s="267"/>
      <c r="E20" s="21" t="s">
        <v>89</v>
      </c>
      <c r="F20" s="22" t="s">
        <v>90</v>
      </c>
      <c r="G20" s="21" t="s">
        <v>88</v>
      </c>
      <c r="H20" s="50" t="s">
        <v>91</v>
      </c>
      <c r="I20" s="267"/>
      <c r="J20" s="267"/>
      <c r="K20" s="302"/>
      <c r="L20" s="290"/>
      <c r="M20" s="267"/>
      <c r="N20" s="267"/>
      <c r="O20" s="267"/>
      <c r="P20" s="27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5">
      <c r="A21" s="1"/>
      <c r="B21" s="290"/>
      <c r="C21" s="284"/>
      <c r="D21" s="284"/>
      <c r="E21" s="21" t="s">
        <v>92</v>
      </c>
      <c r="F21" s="22" t="s">
        <v>93</v>
      </c>
      <c r="G21" s="21" t="s">
        <v>94</v>
      </c>
      <c r="H21" s="50" t="s">
        <v>95</v>
      </c>
      <c r="I21" s="284"/>
      <c r="J21" s="284"/>
      <c r="K21" s="303"/>
      <c r="L21" s="305"/>
      <c r="M21" s="284"/>
      <c r="N21" s="284"/>
      <c r="O21" s="284"/>
      <c r="P21" s="34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1"/>
      <c r="B22" s="290"/>
      <c r="C22" s="296" t="s">
        <v>96</v>
      </c>
      <c r="D22" s="310" t="s">
        <v>97</v>
      </c>
      <c r="E22" s="21" t="s">
        <v>98</v>
      </c>
      <c r="F22" s="22" t="s">
        <v>99</v>
      </c>
      <c r="G22" s="295" t="s">
        <v>100</v>
      </c>
      <c r="H22" s="341" t="s">
        <v>37</v>
      </c>
      <c r="I22" s="283" t="s">
        <v>50</v>
      </c>
      <c r="J22" s="283" t="s">
        <v>56</v>
      </c>
      <c r="K22" s="336" t="s">
        <v>101</v>
      </c>
      <c r="L22" s="304">
        <v>5000</v>
      </c>
      <c r="M22" s="306">
        <v>0</v>
      </c>
      <c r="N22" s="306">
        <v>0</v>
      </c>
      <c r="O22" s="306">
        <v>0</v>
      </c>
      <c r="P22" s="269">
        <f>SUM(L22:O22)</f>
        <v>5000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1"/>
      <c r="B23" s="290"/>
      <c r="C23" s="267"/>
      <c r="D23" s="267"/>
      <c r="E23" s="21" t="s">
        <v>102</v>
      </c>
      <c r="F23" s="22" t="s">
        <v>103</v>
      </c>
      <c r="G23" s="267"/>
      <c r="H23" s="267"/>
      <c r="I23" s="267"/>
      <c r="J23" s="267"/>
      <c r="K23" s="337"/>
      <c r="L23" s="290"/>
      <c r="M23" s="267"/>
      <c r="N23" s="267"/>
      <c r="O23" s="267"/>
      <c r="P23" s="27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"/>
      <c r="B24" s="305"/>
      <c r="C24" s="284"/>
      <c r="D24" s="284"/>
      <c r="E24" s="21" t="s">
        <v>104</v>
      </c>
      <c r="F24" s="51" t="s">
        <v>105</v>
      </c>
      <c r="G24" s="284"/>
      <c r="H24" s="284"/>
      <c r="I24" s="284"/>
      <c r="J24" s="284"/>
      <c r="K24" s="338"/>
      <c r="L24" s="305"/>
      <c r="M24" s="284"/>
      <c r="N24" s="284"/>
      <c r="O24" s="284"/>
      <c r="P24" s="33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"/>
      <c r="B25" s="272" t="s">
        <v>106</v>
      </c>
      <c r="C25" s="273"/>
      <c r="D25" s="273"/>
      <c r="E25" s="273"/>
      <c r="F25" s="273"/>
      <c r="G25" s="273"/>
      <c r="H25" s="273"/>
      <c r="I25" s="273"/>
      <c r="J25" s="273"/>
      <c r="K25" s="273"/>
      <c r="L25" s="52">
        <f t="shared" ref="L25:O25" si="3">L4+L7+L13+L15+L16+L18+L19+L22</f>
        <v>919000</v>
      </c>
      <c r="M25" s="53">
        <f t="shared" si="3"/>
        <v>0</v>
      </c>
      <c r="N25" s="53">
        <f t="shared" si="3"/>
        <v>0</v>
      </c>
      <c r="O25" s="53">
        <f t="shared" si="3"/>
        <v>0</v>
      </c>
      <c r="P25" s="54">
        <f>SUM(L25:O25)</f>
        <v>919000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1"/>
      <c r="B26" s="292" t="s">
        <v>107</v>
      </c>
      <c r="C26" s="294" t="s">
        <v>108</v>
      </c>
      <c r="D26" s="294" t="s">
        <v>109</v>
      </c>
      <c r="E26" s="33" t="s">
        <v>110</v>
      </c>
      <c r="F26" s="55" t="s">
        <v>111</v>
      </c>
      <c r="G26" s="34" t="s">
        <v>112</v>
      </c>
      <c r="H26" s="56" t="s">
        <v>113</v>
      </c>
      <c r="I26" s="331" t="s">
        <v>50</v>
      </c>
      <c r="J26" s="332" t="s">
        <v>56</v>
      </c>
      <c r="K26" s="333" t="s">
        <v>114</v>
      </c>
      <c r="L26" s="334">
        <v>5000</v>
      </c>
      <c r="M26" s="299">
        <v>0</v>
      </c>
      <c r="N26" s="299">
        <v>6000</v>
      </c>
      <c r="O26" s="299">
        <v>0</v>
      </c>
      <c r="P26" s="320">
        <f>SUM(L26:O28)</f>
        <v>11000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1"/>
      <c r="B27" s="290"/>
      <c r="C27" s="267"/>
      <c r="D27" s="267"/>
      <c r="E27" s="33" t="s">
        <v>115</v>
      </c>
      <c r="F27" s="21" t="s">
        <v>116</v>
      </c>
      <c r="G27" s="21" t="s">
        <v>117</v>
      </c>
      <c r="H27" s="57" t="s">
        <v>37</v>
      </c>
      <c r="I27" s="267"/>
      <c r="J27" s="286"/>
      <c r="K27" s="288"/>
      <c r="L27" s="326"/>
      <c r="M27" s="267"/>
      <c r="N27" s="267"/>
      <c r="O27" s="267"/>
      <c r="P27" s="32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1"/>
      <c r="B28" s="290"/>
      <c r="C28" s="284"/>
      <c r="D28" s="284"/>
      <c r="E28" s="33" t="s">
        <v>118</v>
      </c>
      <c r="F28" s="21" t="s">
        <v>119</v>
      </c>
      <c r="G28" s="21" t="s">
        <v>120</v>
      </c>
      <c r="H28" s="57" t="s">
        <v>121</v>
      </c>
      <c r="I28" s="284"/>
      <c r="J28" s="323"/>
      <c r="K28" s="324"/>
      <c r="L28" s="335"/>
      <c r="M28" s="284"/>
      <c r="N28" s="284"/>
      <c r="O28" s="284"/>
      <c r="P28" s="32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1"/>
      <c r="B29" s="290"/>
      <c r="C29" s="295" t="s">
        <v>122</v>
      </c>
      <c r="D29" s="295" t="s">
        <v>123</v>
      </c>
      <c r="E29" s="22" t="s">
        <v>124</v>
      </c>
      <c r="F29" s="21" t="s">
        <v>125</v>
      </c>
      <c r="G29" s="21" t="s">
        <v>126</v>
      </c>
      <c r="H29" s="57" t="s">
        <v>37</v>
      </c>
      <c r="I29" s="283" t="s">
        <v>50</v>
      </c>
      <c r="J29" s="285" t="s">
        <v>56</v>
      </c>
      <c r="K29" s="287" t="s">
        <v>114</v>
      </c>
      <c r="L29" s="325">
        <v>0</v>
      </c>
      <c r="M29" s="298">
        <v>0</v>
      </c>
      <c r="N29" s="298">
        <v>0</v>
      </c>
      <c r="O29" s="298">
        <v>0</v>
      </c>
      <c r="P29" s="328">
        <f>SUM(L29:O31)</f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1"/>
      <c r="B30" s="290"/>
      <c r="C30" s="267"/>
      <c r="D30" s="267"/>
      <c r="E30" s="22" t="s">
        <v>127</v>
      </c>
      <c r="F30" s="22" t="s">
        <v>128</v>
      </c>
      <c r="G30" s="22" t="s">
        <v>126</v>
      </c>
      <c r="H30" s="58" t="s">
        <v>37</v>
      </c>
      <c r="I30" s="267"/>
      <c r="J30" s="286"/>
      <c r="K30" s="288"/>
      <c r="L30" s="326"/>
      <c r="M30" s="267"/>
      <c r="N30" s="267"/>
      <c r="O30" s="267"/>
      <c r="P30" s="32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1"/>
      <c r="B31" s="290"/>
      <c r="C31" s="284"/>
      <c r="D31" s="284"/>
      <c r="E31" s="22" t="s">
        <v>129</v>
      </c>
      <c r="F31" s="22" t="s">
        <v>130</v>
      </c>
      <c r="G31" s="22" t="s">
        <v>131</v>
      </c>
      <c r="H31" s="22" t="s">
        <v>132</v>
      </c>
      <c r="I31" s="284"/>
      <c r="J31" s="323"/>
      <c r="K31" s="324"/>
      <c r="L31" s="327"/>
      <c r="M31" s="297"/>
      <c r="N31" s="297"/>
      <c r="O31" s="297"/>
      <c r="P31" s="329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1"/>
      <c r="B32" s="290"/>
      <c r="C32" s="296" t="s">
        <v>133</v>
      </c>
      <c r="D32" s="296" t="s">
        <v>134</v>
      </c>
      <c r="E32" s="21" t="s">
        <v>135</v>
      </c>
      <c r="F32" s="22" t="s">
        <v>136</v>
      </c>
      <c r="G32" s="22" t="s">
        <v>137</v>
      </c>
      <c r="H32" s="22" t="s">
        <v>121</v>
      </c>
      <c r="I32" s="283" t="s">
        <v>50</v>
      </c>
      <c r="J32" s="285" t="s">
        <v>56</v>
      </c>
      <c r="K32" s="287" t="s">
        <v>114</v>
      </c>
      <c r="L32" s="289">
        <v>0</v>
      </c>
      <c r="M32" s="266">
        <v>5000</v>
      </c>
      <c r="N32" s="266">
        <v>5000</v>
      </c>
      <c r="O32" s="266">
        <v>5000</v>
      </c>
      <c r="P32" s="269">
        <f>SUM(L32:O32)</f>
        <v>15000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"/>
      <c r="B33" s="290"/>
      <c r="C33" s="267"/>
      <c r="D33" s="267"/>
      <c r="E33" s="21" t="s">
        <v>138</v>
      </c>
      <c r="F33" s="22" t="s">
        <v>139</v>
      </c>
      <c r="G33" s="22" t="s">
        <v>140</v>
      </c>
      <c r="H33" s="22" t="s">
        <v>141</v>
      </c>
      <c r="I33" s="267"/>
      <c r="J33" s="286"/>
      <c r="K33" s="288"/>
      <c r="L33" s="290"/>
      <c r="M33" s="267"/>
      <c r="N33" s="267"/>
      <c r="O33" s="267"/>
      <c r="P33" s="270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"/>
      <c r="B34" s="293"/>
      <c r="C34" s="297"/>
      <c r="D34" s="297"/>
      <c r="E34" s="21" t="s">
        <v>142</v>
      </c>
      <c r="F34" s="51" t="s">
        <v>143</v>
      </c>
      <c r="G34" s="51" t="s">
        <v>144</v>
      </c>
      <c r="H34" s="51" t="s">
        <v>37</v>
      </c>
      <c r="I34" s="267"/>
      <c r="J34" s="286"/>
      <c r="K34" s="288"/>
      <c r="L34" s="291"/>
      <c r="M34" s="268"/>
      <c r="N34" s="268"/>
      <c r="O34" s="268"/>
      <c r="P34" s="27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1"/>
      <c r="B35" s="272" t="s">
        <v>145</v>
      </c>
      <c r="C35" s="273"/>
      <c r="D35" s="273"/>
      <c r="E35" s="273"/>
      <c r="F35" s="273"/>
      <c r="G35" s="273"/>
      <c r="H35" s="273"/>
      <c r="I35" s="273"/>
      <c r="J35" s="273"/>
      <c r="K35" s="273"/>
      <c r="L35" s="52">
        <f t="shared" ref="L35:P35" si="4">SUM(L26:L34)</f>
        <v>5000</v>
      </c>
      <c r="M35" s="53">
        <f t="shared" si="4"/>
        <v>5000</v>
      </c>
      <c r="N35" s="53">
        <f t="shared" si="4"/>
        <v>11000</v>
      </c>
      <c r="O35" s="53">
        <f t="shared" si="4"/>
        <v>5000</v>
      </c>
      <c r="P35" s="54">
        <f t="shared" si="4"/>
        <v>26000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1"/>
      <c r="B36" s="59" t="s">
        <v>146</v>
      </c>
      <c r="C36" s="60" t="s">
        <v>147</v>
      </c>
      <c r="D36" s="60" t="s">
        <v>148</v>
      </c>
      <c r="E36" s="61" t="s">
        <v>149</v>
      </c>
      <c r="F36" s="60" t="s">
        <v>150</v>
      </c>
      <c r="G36" s="60" t="s">
        <v>151</v>
      </c>
      <c r="H36" s="60" t="s">
        <v>37</v>
      </c>
      <c r="I36" s="62" t="s">
        <v>152</v>
      </c>
      <c r="J36" s="62" t="s">
        <v>56</v>
      </c>
      <c r="K36" s="63" t="s">
        <v>153</v>
      </c>
      <c r="L36" s="64">
        <v>0</v>
      </c>
      <c r="M36" s="65">
        <v>0</v>
      </c>
      <c r="N36" s="65">
        <v>0</v>
      </c>
      <c r="O36" s="65">
        <v>5000</v>
      </c>
      <c r="P36" s="54">
        <f>SUM(L36:O36)</f>
        <v>5000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1"/>
      <c r="B37" s="274" t="s">
        <v>154</v>
      </c>
      <c r="C37" s="273"/>
      <c r="D37" s="273"/>
      <c r="E37" s="273"/>
      <c r="F37" s="273"/>
      <c r="G37" s="273"/>
      <c r="H37" s="273"/>
      <c r="I37" s="273"/>
      <c r="J37" s="273"/>
      <c r="K37" s="275"/>
      <c r="L37" s="66">
        <f t="shared" ref="L37:P37" si="5">SUM(L36)</f>
        <v>0</v>
      </c>
      <c r="M37" s="67">
        <f t="shared" si="5"/>
        <v>0</v>
      </c>
      <c r="N37" s="67">
        <f t="shared" si="5"/>
        <v>0</v>
      </c>
      <c r="O37" s="67">
        <f t="shared" si="5"/>
        <v>5000</v>
      </c>
      <c r="P37" s="68">
        <f t="shared" si="5"/>
        <v>5000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1"/>
      <c r="B38" s="276" t="s">
        <v>155</v>
      </c>
      <c r="C38" s="277"/>
      <c r="D38" s="277"/>
      <c r="E38" s="277"/>
      <c r="F38" s="277"/>
      <c r="G38" s="277"/>
      <c r="H38" s="277"/>
      <c r="I38" s="277"/>
      <c r="J38" s="277"/>
      <c r="K38" s="278"/>
      <c r="L38" s="69">
        <f t="shared" ref="L38:P38" si="6">L6+L12+L25+L35+L37</f>
        <v>924000</v>
      </c>
      <c r="M38" s="69">
        <f t="shared" si="6"/>
        <v>25000</v>
      </c>
      <c r="N38" s="69">
        <f t="shared" si="6"/>
        <v>31000</v>
      </c>
      <c r="O38" s="69">
        <f t="shared" si="6"/>
        <v>20000</v>
      </c>
      <c r="P38" s="70">
        <f t="shared" si="6"/>
        <v>1000000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1"/>
      <c r="B39" s="71"/>
      <c r="C39" s="279"/>
      <c r="D39" s="280"/>
      <c r="E39" s="72"/>
      <c r="F39" s="1"/>
      <c r="G39" s="1"/>
      <c r="H39" s="73"/>
      <c r="I39" s="74"/>
      <c r="J39" s="74"/>
      <c r="K39" s="75"/>
      <c r="L39" s="1"/>
      <c r="M39" s="73"/>
      <c r="N39" s="1"/>
      <c r="O39" s="1"/>
      <c r="P39" s="73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1"/>
      <c r="B40" s="76"/>
      <c r="C40" s="281" t="s">
        <v>156</v>
      </c>
      <c r="D40" s="282"/>
      <c r="E40" s="72"/>
      <c r="F40" s="1"/>
      <c r="G40" s="1"/>
      <c r="H40" s="73"/>
      <c r="I40" s="74"/>
      <c r="J40" s="74"/>
      <c r="K40" s="75"/>
      <c r="L40" s="1"/>
      <c r="M40" s="73"/>
      <c r="N40" s="1"/>
      <c r="O40" s="1"/>
      <c r="P40" s="7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"/>
      <c r="B41" s="71"/>
      <c r="C41" s="77" t="s">
        <v>157</v>
      </c>
      <c r="D41" s="78">
        <v>300000</v>
      </c>
      <c r="E41" s="72"/>
      <c r="F41" s="1"/>
      <c r="G41" s="1"/>
      <c r="H41" s="73"/>
      <c r="I41" s="74"/>
      <c r="J41" s="74"/>
      <c r="K41" s="75"/>
      <c r="L41" s="1"/>
      <c r="M41" s="73"/>
      <c r="N41" s="1"/>
      <c r="O41" s="1"/>
      <c r="P41" s="73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"/>
      <c r="B42" s="71"/>
      <c r="C42" s="77" t="s">
        <v>158</v>
      </c>
      <c r="D42" s="78">
        <f>P38*50%</f>
        <v>500000</v>
      </c>
      <c r="E42" s="72"/>
      <c r="F42" s="1"/>
      <c r="G42" s="1"/>
      <c r="H42" s="73"/>
      <c r="I42" s="74"/>
      <c r="J42" s="74"/>
      <c r="K42" s="75"/>
      <c r="L42" s="1"/>
      <c r="M42" s="73"/>
      <c r="N42" s="1"/>
      <c r="O42" s="1"/>
      <c r="P42" s="73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"/>
      <c r="B43" s="71"/>
      <c r="C43" s="77" t="s">
        <v>159</v>
      </c>
      <c r="D43" s="78">
        <v>200000</v>
      </c>
      <c r="E43" s="72"/>
      <c r="F43" s="1"/>
      <c r="G43" s="1"/>
      <c r="H43" s="73"/>
      <c r="I43" s="74"/>
      <c r="J43" s="74"/>
      <c r="K43" s="75"/>
      <c r="L43" s="1"/>
      <c r="M43" s="73"/>
      <c r="N43" s="1"/>
      <c r="O43" s="1"/>
      <c r="P43" s="73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1"/>
      <c r="B44" s="71"/>
      <c r="C44" s="73"/>
      <c r="D44" s="79">
        <f>SUM(D41:D43)</f>
        <v>1000000</v>
      </c>
      <c r="E44" s="72"/>
      <c r="F44" s="73"/>
      <c r="G44" s="73"/>
      <c r="H44" s="73"/>
      <c r="I44" s="74"/>
      <c r="J44" s="74"/>
      <c r="K44" s="74"/>
      <c r="L44" s="73"/>
      <c r="M44" s="73"/>
      <c r="N44" s="73"/>
      <c r="O44" s="73"/>
      <c r="P44" s="73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1"/>
      <c r="B45" s="80"/>
      <c r="C45" s="73"/>
      <c r="D45" s="81"/>
      <c r="E45" s="82"/>
      <c r="F45" s="83"/>
      <c r="G45" s="83"/>
      <c r="H45" s="83"/>
      <c r="I45" s="84"/>
      <c r="J45" s="84"/>
      <c r="K45" s="84"/>
      <c r="L45" s="83"/>
      <c r="M45" s="83"/>
      <c r="N45" s="83"/>
      <c r="O45" s="83"/>
      <c r="P45" s="8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1"/>
      <c r="B46" s="85"/>
      <c r="C46" s="1"/>
      <c r="D46" s="1"/>
      <c r="E46" s="1"/>
      <c r="F46" s="1"/>
      <c r="G46" s="1"/>
      <c r="H46" s="1"/>
      <c r="I46" s="75"/>
      <c r="J46" s="75"/>
      <c r="K46" s="7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1"/>
      <c r="B47" s="85"/>
      <c r="C47" s="1"/>
      <c r="D47" s="1"/>
      <c r="E47" s="1"/>
      <c r="F47" s="1"/>
      <c r="G47" s="1"/>
      <c r="H47" s="1"/>
      <c r="I47" s="75"/>
      <c r="J47" s="75"/>
      <c r="K47" s="7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1"/>
      <c r="B48" s="85"/>
      <c r="C48" s="1"/>
      <c r="D48" s="1"/>
      <c r="E48" s="1"/>
      <c r="F48" s="1"/>
      <c r="G48" s="1"/>
      <c r="H48" s="1"/>
      <c r="I48" s="75"/>
      <c r="J48" s="75"/>
      <c r="K48" s="7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1"/>
      <c r="B49" s="85"/>
      <c r="C49" s="1"/>
      <c r="D49" s="1"/>
      <c r="E49" s="1"/>
      <c r="F49" s="1"/>
      <c r="G49" s="1"/>
      <c r="H49" s="1"/>
      <c r="I49" s="75"/>
      <c r="J49" s="75"/>
      <c r="K49" s="7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5">
      <c r="A50" s="1"/>
      <c r="B50" s="85"/>
      <c r="C50" s="1"/>
      <c r="D50" s="1"/>
      <c r="E50" s="1"/>
      <c r="F50" s="1"/>
      <c r="G50" s="1"/>
      <c r="H50" s="1"/>
      <c r="I50" s="75"/>
      <c r="J50" s="75"/>
      <c r="K50" s="7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5">
      <c r="A51" s="1"/>
      <c r="B51" s="85"/>
      <c r="C51" s="1"/>
      <c r="D51" s="1"/>
      <c r="E51" s="1"/>
      <c r="F51" s="1"/>
      <c r="G51" s="1"/>
      <c r="H51" s="1"/>
      <c r="I51" s="75"/>
      <c r="J51" s="75"/>
      <c r="K51" s="7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5">
      <c r="A52" s="1"/>
      <c r="B52" s="85"/>
      <c r="C52" s="1"/>
      <c r="D52" s="1"/>
      <c r="E52" s="1"/>
      <c r="F52" s="1"/>
      <c r="G52" s="1"/>
      <c r="H52" s="1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1"/>
      <c r="B53" s="85"/>
      <c r="C53" s="1"/>
      <c r="D53" s="1"/>
      <c r="E53" s="1"/>
      <c r="F53" s="1"/>
      <c r="G53" s="1"/>
      <c r="H53" s="1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1"/>
      <c r="B54" s="85"/>
      <c r="C54" s="1"/>
      <c r="D54" s="1"/>
      <c r="E54" s="1"/>
      <c r="F54" s="1"/>
      <c r="G54" s="1"/>
      <c r="H54" s="1"/>
      <c r="I54" s="75"/>
      <c r="J54" s="75"/>
      <c r="K54" s="7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1"/>
      <c r="B55" s="85"/>
      <c r="C55" s="1"/>
      <c r="D55" s="1"/>
      <c r="E55" s="1"/>
      <c r="F55" s="1"/>
      <c r="G55" s="1"/>
      <c r="H55" s="1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1"/>
      <c r="B56" s="85"/>
      <c r="C56" s="1"/>
      <c r="D56" s="1"/>
      <c r="E56" s="1"/>
      <c r="F56" s="1"/>
      <c r="G56" s="1"/>
      <c r="H56" s="1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1"/>
      <c r="B57" s="85"/>
      <c r="C57" s="1"/>
      <c r="D57" s="1"/>
      <c r="E57" s="1"/>
      <c r="F57" s="1"/>
      <c r="G57" s="1"/>
      <c r="H57" s="1"/>
      <c r="I57" s="75"/>
      <c r="J57" s="75"/>
      <c r="K57" s="7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1"/>
      <c r="B58" s="85"/>
      <c r="C58" s="1"/>
      <c r="D58" s="1"/>
      <c r="E58" s="1"/>
      <c r="F58" s="1"/>
      <c r="G58" s="1"/>
      <c r="H58" s="1"/>
      <c r="I58" s="75"/>
      <c r="J58" s="75"/>
      <c r="K58" s="7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1"/>
      <c r="B59" s="85"/>
      <c r="C59" s="1"/>
      <c r="D59" s="1"/>
      <c r="E59" s="1"/>
      <c r="F59" s="1"/>
      <c r="G59" s="1"/>
      <c r="H59" s="1"/>
      <c r="I59" s="75"/>
      <c r="J59" s="75"/>
      <c r="K59" s="7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1"/>
      <c r="B60" s="85"/>
      <c r="C60" s="1"/>
      <c r="D60" s="1"/>
      <c r="E60" s="1"/>
      <c r="F60" s="1"/>
      <c r="G60" s="1"/>
      <c r="H60" s="1"/>
      <c r="I60" s="75"/>
      <c r="J60" s="75"/>
      <c r="K60" s="7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5">
      <c r="A61" s="1"/>
      <c r="B61" s="85"/>
      <c r="C61" s="1"/>
      <c r="D61" s="1"/>
      <c r="E61" s="1"/>
      <c r="F61" s="1"/>
      <c r="G61" s="1"/>
      <c r="H61" s="1"/>
      <c r="I61" s="75"/>
      <c r="J61" s="75"/>
      <c r="K61" s="7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1"/>
      <c r="B62" s="85"/>
      <c r="C62" s="1"/>
      <c r="D62" s="1"/>
      <c r="E62" s="1"/>
      <c r="F62" s="1"/>
      <c r="G62" s="1"/>
      <c r="H62" s="1"/>
      <c r="I62" s="75"/>
      <c r="J62" s="75"/>
      <c r="K62" s="7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"/>
      <c r="B63" s="85"/>
      <c r="C63" s="1"/>
      <c r="D63" s="1"/>
      <c r="E63" s="1"/>
      <c r="F63" s="1"/>
      <c r="G63" s="1"/>
      <c r="H63" s="1"/>
      <c r="I63" s="75"/>
      <c r="J63" s="75"/>
      <c r="K63" s="7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"/>
      <c r="B64" s="85"/>
      <c r="C64" s="1"/>
      <c r="D64" s="1"/>
      <c r="E64" s="1"/>
      <c r="F64" s="1"/>
      <c r="G64" s="1"/>
      <c r="H64" s="1"/>
      <c r="I64" s="75"/>
      <c r="J64" s="75"/>
      <c r="K64" s="7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"/>
      <c r="B65" s="85"/>
      <c r="C65" s="1"/>
      <c r="D65" s="1"/>
      <c r="E65" s="1"/>
      <c r="F65" s="1"/>
      <c r="G65" s="1"/>
      <c r="H65" s="1"/>
      <c r="I65" s="75"/>
      <c r="J65" s="75"/>
      <c r="K65" s="7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1"/>
      <c r="B66" s="85"/>
      <c r="C66" s="1"/>
      <c r="D66" s="1"/>
      <c r="E66" s="1"/>
      <c r="F66" s="1"/>
      <c r="G66" s="1"/>
      <c r="H66" s="1"/>
      <c r="I66" s="75"/>
      <c r="J66" s="75"/>
      <c r="K66" s="7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1"/>
      <c r="B67" s="85"/>
      <c r="C67" s="1"/>
      <c r="D67" s="1"/>
      <c r="E67" s="1"/>
      <c r="F67" s="1"/>
      <c r="G67" s="1"/>
      <c r="H67" s="1"/>
      <c r="I67" s="75"/>
      <c r="J67" s="75"/>
      <c r="K67" s="7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1"/>
      <c r="B68" s="85"/>
      <c r="C68" s="1"/>
      <c r="D68" s="1"/>
      <c r="E68" s="1"/>
      <c r="F68" s="1"/>
      <c r="G68" s="1"/>
      <c r="H68" s="1"/>
      <c r="I68" s="75"/>
      <c r="J68" s="75"/>
      <c r="K68" s="7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1"/>
      <c r="B69" s="85"/>
      <c r="C69" s="1"/>
      <c r="D69" s="1"/>
      <c r="E69" s="1"/>
      <c r="F69" s="1"/>
      <c r="G69" s="1"/>
      <c r="H69" s="1"/>
      <c r="I69" s="75"/>
      <c r="J69" s="75"/>
      <c r="K69" s="7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"/>
      <c r="B70" s="85"/>
      <c r="C70" s="1"/>
      <c r="D70" s="1"/>
      <c r="E70" s="1"/>
      <c r="F70" s="1"/>
      <c r="G70" s="1"/>
      <c r="H70" s="1"/>
      <c r="I70" s="75"/>
      <c r="J70" s="75"/>
      <c r="K70" s="7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"/>
      <c r="B71" s="85"/>
      <c r="C71" s="1"/>
      <c r="D71" s="1"/>
      <c r="E71" s="1"/>
      <c r="F71" s="1"/>
      <c r="G71" s="1"/>
      <c r="H71" s="1"/>
      <c r="I71" s="75"/>
      <c r="J71" s="75"/>
      <c r="K71" s="7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"/>
      <c r="B72" s="85"/>
      <c r="C72" s="1"/>
      <c r="D72" s="1"/>
      <c r="E72" s="1"/>
      <c r="F72" s="1"/>
      <c r="G72" s="1"/>
      <c r="H72" s="1"/>
      <c r="I72" s="75"/>
      <c r="J72" s="75"/>
      <c r="K72" s="7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85"/>
      <c r="C73" s="1"/>
      <c r="D73" s="1"/>
      <c r="E73" s="1"/>
      <c r="F73" s="1"/>
      <c r="G73" s="1"/>
      <c r="H73" s="1"/>
      <c r="I73" s="75"/>
      <c r="J73" s="75"/>
      <c r="K73" s="7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85"/>
      <c r="C74" s="1"/>
      <c r="D74" s="1"/>
      <c r="E74" s="1"/>
      <c r="F74" s="1"/>
      <c r="G74" s="1"/>
      <c r="H74" s="1"/>
      <c r="I74" s="75"/>
      <c r="J74" s="75"/>
      <c r="K74" s="7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85"/>
      <c r="C75" s="1"/>
      <c r="D75" s="1"/>
      <c r="E75" s="1"/>
      <c r="F75" s="1"/>
      <c r="G75" s="1"/>
      <c r="H75" s="1"/>
      <c r="I75" s="75"/>
      <c r="J75" s="75"/>
      <c r="K75" s="7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85"/>
      <c r="C76" s="1"/>
      <c r="D76" s="1"/>
      <c r="E76" s="1"/>
      <c r="F76" s="1"/>
      <c r="G76" s="1"/>
      <c r="H76" s="1"/>
      <c r="I76" s="75"/>
      <c r="J76" s="75"/>
      <c r="K76" s="7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85"/>
      <c r="C77" s="1"/>
      <c r="D77" s="1"/>
      <c r="E77" s="1"/>
      <c r="F77" s="1"/>
      <c r="G77" s="1"/>
      <c r="H77" s="1"/>
      <c r="I77" s="75"/>
      <c r="J77" s="75"/>
      <c r="K77" s="7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85"/>
      <c r="C78" s="1"/>
      <c r="D78" s="1"/>
      <c r="E78" s="1"/>
      <c r="F78" s="1"/>
      <c r="G78" s="1"/>
      <c r="H78" s="1"/>
      <c r="I78" s="75"/>
      <c r="J78" s="75"/>
      <c r="K78" s="7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85"/>
      <c r="C79" s="1"/>
      <c r="D79" s="1"/>
      <c r="E79" s="1"/>
      <c r="F79" s="1"/>
      <c r="G79" s="1"/>
      <c r="H79" s="1"/>
      <c r="I79" s="75"/>
      <c r="J79" s="75"/>
      <c r="K79" s="7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85"/>
      <c r="C80" s="1"/>
      <c r="D80" s="1"/>
      <c r="E80" s="1"/>
      <c r="F80" s="1"/>
      <c r="G80" s="1"/>
      <c r="H80" s="1"/>
      <c r="I80" s="75"/>
      <c r="J80" s="75"/>
      <c r="K80" s="7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85"/>
      <c r="C81" s="1"/>
      <c r="D81" s="1"/>
      <c r="E81" s="1"/>
      <c r="F81" s="1"/>
      <c r="G81" s="1"/>
      <c r="H81" s="1"/>
      <c r="I81" s="75"/>
      <c r="J81" s="75"/>
      <c r="K81" s="7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85"/>
      <c r="C82" s="1"/>
      <c r="D82" s="1"/>
      <c r="E82" s="1"/>
      <c r="F82" s="1"/>
      <c r="G82" s="1"/>
      <c r="H82" s="1"/>
      <c r="I82" s="75"/>
      <c r="J82" s="75"/>
      <c r="K82" s="7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85"/>
      <c r="C83" s="1"/>
      <c r="D83" s="1"/>
      <c r="E83" s="1"/>
      <c r="F83" s="1"/>
      <c r="G83" s="1"/>
      <c r="H83" s="1"/>
      <c r="I83" s="75"/>
      <c r="J83" s="75"/>
      <c r="K83" s="7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85"/>
      <c r="C84" s="1"/>
      <c r="D84" s="1"/>
      <c r="E84" s="1"/>
      <c r="F84" s="1"/>
      <c r="G84" s="1"/>
      <c r="H84" s="1"/>
      <c r="I84" s="75"/>
      <c r="J84" s="75"/>
      <c r="K84" s="7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85"/>
      <c r="C85" s="1"/>
      <c r="D85" s="1"/>
      <c r="E85" s="1"/>
      <c r="F85" s="1"/>
      <c r="G85" s="1"/>
      <c r="H85" s="1"/>
      <c r="I85" s="75"/>
      <c r="J85" s="75"/>
      <c r="K85" s="7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85"/>
      <c r="C86" s="1"/>
      <c r="D86" s="1"/>
      <c r="E86" s="1"/>
      <c r="F86" s="1"/>
      <c r="G86" s="1"/>
      <c r="H86" s="1"/>
      <c r="I86" s="75"/>
      <c r="J86" s="75"/>
      <c r="K86" s="7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85"/>
      <c r="C87" s="1"/>
      <c r="D87" s="1"/>
      <c r="E87" s="1"/>
      <c r="F87" s="1"/>
      <c r="G87" s="1"/>
      <c r="H87" s="1"/>
      <c r="I87" s="75"/>
      <c r="J87" s="75"/>
      <c r="K87" s="7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85"/>
      <c r="C88" s="1"/>
      <c r="D88" s="1"/>
      <c r="E88" s="1"/>
      <c r="F88" s="1"/>
      <c r="G88" s="1"/>
      <c r="H88" s="1"/>
      <c r="I88" s="75"/>
      <c r="J88" s="75"/>
      <c r="K88" s="7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85"/>
      <c r="C89" s="1"/>
      <c r="D89" s="1"/>
      <c r="E89" s="1"/>
      <c r="F89" s="1"/>
      <c r="G89" s="1"/>
      <c r="H89" s="1"/>
      <c r="I89" s="75"/>
      <c r="J89" s="75"/>
      <c r="K89" s="7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85"/>
      <c r="C90" s="1"/>
      <c r="D90" s="1"/>
      <c r="E90" s="1"/>
      <c r="F90" s="1"/>
      <c r="G90" s="1"/>
      <c r="H90" s="1"/>
      <c r="I90" s="75"/>
      <c r="J90" s="75"/>
      <c r="K90" s="7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85"/>
      <c r="C91" s="1"/>
      <c r="D91" s="1"/>
      <c r="E91" s="1"/>
      <c r="F91" s="1"/>
      <c r="G91" s="1"/>
      <c r="H91" s="1"/>
      <c r="I91" s="75"/>
      <c r="J91" s="75"/>
      <c r="K91" s="7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85"/>
      <c r="C92" s="1"/>
      <c r="D92" s="1"/>
      <c r="E92" s="1"/>
      <c r="F92" s="1"/>
      <c r="G92" s="1"/>
      <c r="H92" s="1"/>
      <c r="I92" s="75"/>
      <c r="J92" s="75"/>
      <c r="K92" s="7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85"/>
      <c r="C93" s="1"/>
      <c r="D93" s="1"/>
      <c r="E93" s="1"/>
      <c r="F93" s="1"/>
      <c r="G93" s="1"/>
      <c r="H93" s="1"/>
      <c r="I93" s="75"/>
      <c r="J93" s="75"/>
      <c r="K93" s="7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85"/>
      <c r="C94" s="1"/>
      <c r="D94" s="1"/>
      <c r="E94" s="1"/>
      <c r="F94" s="1"/>
      <c r="G94" s="1"/>
      <c r="H94" s="1"/>
      <c r="I94" s="75"/>
      <c r="J94" s="75"/>
      <c r="K94" s="7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85"/>
      <c r="C95" s="1"/>
      <c r="D95" s="1"/>
      <c r="E95" s="1"/>
      <c r="F95" s="1"/>
      <c r="G95" s="1"/>
      <c r="H95" s="1"/>
      <c r="I95" s="75"/>
      <c r="J95" s="75"/>
      <c r="K95" s="7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85"/>
      <c r="C96" s="1"/>
      <c r="D96" s="1"/>
      <c r="E96" s="1"/>
      <c r="F96" s="1"/>
      <c r="G96" s="1"/>
      <c r="H96" s="1"/>
      <c r="I96" s="75"/>
      <c r="J96" s="75"/>
      <c r="K96" s="7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85"/>
      <c r="C97" s="1"/>
      <c r="D97" s="1"/>
      <c r="E97" s="1"/>
      <c r="F97" s="1"/>
      <c r="G97" s="1"/>
      <c r="H97" s="1"/>
      <c r="I97" s="75"/>
      <c r="J97" s="75"/>
      <c r="K97" s="7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85"/>
      <c r="C98" s="1"/>
      <c r="D98" s="1"/>
      <c r="E98" s="1"/>
      <c r="F98" s="1"/>
      <c r="G98" s="1"/>
      <c r="H98" s="1"/>
      <c r="I98" s="75"/>
      <c r="J98" s="75"/>
      <c r="K98" s="7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85"/>
      <c r="C99" s="1"/>
      <c r="D99" s="1"/>
      <c r="E99" s="1"/>
      <c r="F99" s="1"/>
      <c r="G99" s="1"/>
      <c r="H99" s="1"/>
      <c r="I99" s="75"/>
      <c r="J99" s="75"/>
      <c r="K99" s="7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85"/>
      <c r="C100" s="1"/>
      <c r="D100" s="1"/>
      <c r="E100" s="1"/>
      <c r="F100" s="1"/>
      <c r="G100" s="1"/>
      <c r="H100" s="1"/>
      <c r="I100" s="75"/>
      <c r="J100" s="75"/>
      <c r="K100" s="7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85"/>
      <c r="C101" s="1"/>
      <c r="D101" s="1"/>
      <c r="E101" s="1"/>
      <c r="F101" s="1"/>
      <c r="G101" s="1"/>
      <c r="H101" s="1"/>
      <c r="I101" s="75"/>
      <c r="J101" s="75"/>
      <c r="K101" s="7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85"/>
      <c r="C102" s="1"/>
      <c r="D102" s="1"/>
      <c r="E102" s="1"/>
      <c r="F102" s="1"/>
      <c r="G102" s="1"/>
      <c r="H102" s="1"/>
      <c r="I102" s="75"/>
      <c r="J102" s="75"/>
      <c r="K102" s="7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85"/>
      <c r="C103" s="1"/>
      <c r="D103" s="1"/>
      <c r="E103" s="1"/>
      <c r="F103" s="1"/>
      <c r="G103" s="1"/>
      <c r="H103" s="1"/>
      <c r="I103" s="75"/>
      <c r="J103" s="75"/>
      <c r="K103" s="7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85"/>
      <c r="C104" s="1"/>
      <c r="D104" s="1"/>
      <c r="E104" s="1"/>
      <c r="F104" s="1"/>
      <c r="G104" s="1"/>
      <c r="H104" s="1"/>
      <c r="I104" s="75"/>
      <c r="J104" s="75"/>
      <c r="K104" s="7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85"/>
      <c r="C105" s="1"/>
      <c r="D105" s="1"/>
      <c r="E105" s="1"/>
      <c r="F105" s="1"/>
      <c r="G105" s="1"/>
      <c r="H105" s="1"/>
      <c r="I105" s="75"/>
      <c r="J105" s="75"/>
      <c r="K105" s="7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85"/>
      <c r="C106" s="1"/>
      <c r="D106" s="1"/>
      <c r="E106" s="1"/>
      <c r="F106" s="1"/>
      <c r="G106" s="1"/>
      <c r="H106" s="1"/>
      <c r="I106" s="75"/>
      <c r="J106" s="75"/>
      <c r="K106" s="7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85"/>
      <c r="C107" s="1"/>
      <c r="D107" s="1"/>
      <c r="E107" s="1"/>
      <c r="F107" s="1"/>
      <c r="G107" s="1"/>
      <c r="H107" s="1"/>
      <c r="I107" s="75"/>
      <c r="J107" s="75"/>
      <c r="K107" s="7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85"/>
      <c r="C108" s="1"/>
      <c r="D108" s="1"/>
      <c r="E108" s="1"/>
      <c r="F108" s="1"/>
      <c r="G108" s="1"/>
      <c r="H108" s="1"/>
      <c r="I108" s="75"/>
      <c r="J108" s="75"/>
      <c r="K108" s="7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85"/>
      <c r="C109" s="1"/>
      <c r="D109" s="1"/>
      <c r="E109" s="1"/>
      <c r="F109" s="1"/>
      <c r="G109" s="1"/>
      <c r="H109" s="1"/>
      <c r="I109" s="75"/>
      <c r="J109" s="75"/>
      <c r="K109" s="7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85"/>
      <c r="C110" s="1"/>
      <c r="D110" s="1"/>
      <c r="E110" s="1"/>
      <c r="F110" s="1"/>
      <c r="G110" s="1"/>
      <c r="H110" s="1"/>
      <c r="I110" s="75"/>
      <c r="J110" s="75"/>
      <c r="K110" s="7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85"/>
      <c r="C111" s="1"/>
      <c r="D111" s="1"/>
      <c r="E111" s="1"/>
      <c r="F111" s="1"/>
      <c r="G111" s="1"/>
      <c r="H111" s="1"/>
      <c r="I111" s="75"/>
      <c r="J111" s="75"/>
      <c r="K111" s="7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85"/>
      <c r="C112" s="1"/>
      <c r="D112" s="1"/>
      <c r="E112" s="1"/>
      <c r="F112" s="1"/>
      <c r="G112" s="1"/>
      <c r="H112" s="1"/>
      <c r="I112" s="75"/>
      <c r="J112" s="75"/>
      <c r="K112" s="7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85"/>
      <c r="C113" s="1"/>
      <c r="D113" s="1"/>
      <c r="E113" s="1"/>
      <c r="F113" s="1"/>
      <c r="G113" s="1"/>
      <c r="H113" s="1"/>
      <c r="I113" s="75"/>
      <c r="J113" s="75"/>
      <c r="K113" s="7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85"/>
      <c r="C114" s="1"/>
      <c r="D114" s="1"/>
      <c r="E114" s="1"/>
      <c r="F114" s="1"/>
      <c r="G114" s="1"/>
      <c r="H114" s="1"/>
      <c r="I114" s="75"/>
      <c r="J114" s="75"/>
      <c r="K114" s="7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85"/>
      <c r="C115" s="1"/>
      <c r="D115" s="1"/>
      <c r="E115" s="1"/>
      <c r="F115" s="1"/>
      <c r="G115" s="1"/>
      <c r="H115" s="1"/>
      <c r="I115" s="75"/>
      <c r="J115" s="75"/>
      <c r="K115" s="7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85"/>
      <c r="C116" s="1"/>
      <c r="D116" s="1"/>
      <c r="E116" s="1"/>
      <c r="F116" s="1"/>
      <c r="G116" s="1"/>
      <c r="H116" s="1"/>
      <c r="I116" s="75"/>
      <c r="J116" s="75"/>
      <c r="K116" s="7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85"/>
      <c r="C117" s="1"/>
      <c r="D117" s="1"/>
      <c r="E117" s="1"/>
      <c r="F117" s="1"/>
      <c r="G117" s="1"/>
      <c r="H117" s="1"/>
      <c r="I117" s="75"/>
      <c r="J117" s="75"/>
      <c r="K117" s="7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85"/>
      <c r="C118" s="1"/>
      <c r="D118" s="1"/>
      <c r="E118" s="1"/>
      <c r="F118" s="1"/>
      <c r="G118" s="1"/>
      <c r="H118" s="1"/>
      <c r="I118" s="75"/>
      <c r="J118" s="75"/>
      <c r="K118" s="7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85"/>
      <c r="C119" s="1"/>
      <c r="D119" s="1"/>
      <c r="E119" s="1"/>
      <c r="F119" s="1"/>
      <c r="G119" s="1"/>
      <c r="H119" s="1"/>
      <c r="I119" s="75"/>
      <c r="J119" s="75"/>
      <c r="K119" s="7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85"/>
      <c r="C120" s="1"/>
      <c r="D120" s="1"/>
      <c r="E120" s="1"/>
      <c r="F120" s="1"/>
      <c r="G120" s="1"/>
      <c r="H120" s="1"/>
      <c r="I120" s="75"/>
      <c r="J120" s="75"/>
      <c r="K120" s="7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85"/>
      <c r="C121" s="1"/>
      <c r="D121" s="1"/>
      <c r="E121" s="1"/>
      <c r="F121" s="1"/>
      <c r="G121" s="1"/>
      <c r="H121" s="1"/>
      <c r="I121" s="75"/>
      <c r="J121" s="75"/>
      <c r="K121" s="7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85"/>
      <c r="C122" s="1"/>
      <c r="D122" s="1"/>
      <c r="E122" s="1"/>
      <c r="F122" s="1"/>
      <c r="G122" s="1"/>
      <c r="H122" s="1"/>
      <c r="I122" s="75"/>
      <c r="J122" s="75"/>
      <c r="K122" s="7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85"/>
      <c r="C123" s="1"/>
      <c r="D123" s="1"/>
      <c r="E123" s="1"/>
      <c r="F123" s="1"/>
      <c r="G123" s="1"/>
      <c r="H123" s="1"/>
      <c r="I123" s="75"/>
      <c r="J123" s="75"/>
      <c r="K123" s="7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85"/>
      <c r="C124" s="1"/>
      <c r="D124" s="1"/>
      <c r="E124" s="1"/>
      <c r="F124" s="1"/>
      <c r="G124" s="1"/>
      <c r="H124" s="1"/>
      <c r="I124" s="75"/>
      <c r="J124" s="75"/>
      <c r="K124" s="7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85"/>
      <c r="C125" s="1"/>
      <c r="D125" s="1"/>
      <c r="E125" s="1"/>
      <c r="F125" s="1"/>
      <c r="G125" s="1"/>
      <c r="H125" s="1"/>
      <c r="I125" s="75"/>
      <c r="J125" s="75"/>
      <c r="K125" s="7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85"/>
      <c r="C126" s="1"/>
      <c r="D126" s="1"/>
      <c r="E126" s="1"/>
      <c r="F126" s="1"/>
      <c r="G126" s="1"/>
      <c r="H126" s="1"/>
      <c r="I126" s="75"/>
      <c r="J126" s="75"/>
      <c r="K126" s="7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85"/>
      <c r="C127" s="1"/>
      <c r="D127" s="1"/>
      <c r="E127" s="1"/>
      <c r="F127" s="1"/>
      <c r="G127" s="1"/>
      <c r="H127" s="1"/>
      <c r="I127" s="75"/>
      <c r="J127" s="75"/>
      <c r="K127" s="7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85"/>
      <c r="C128" s="1"/>
      <c r="D128" s="1"/>
      <c r="E128" s="1"/>
      <c r="F128" s="1"/>
      <c r="G128" s="1"/>
      <c r="H128" s="1"/>
      <c r="I128" s="75"/>
      <c r="J128" s="75"/>
      <c r="K128" s="7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85"/>
      <c r="C129" s="1"/>
      <c r="D129" s="1"/>
      <c r="E129" s="1"/>
      <c r="F129" s="1"/>
      <c r="G129" s="1"/>
      <c r="H129" s="1"/>
      <c r="I129" s="75"/>
      <c r="J129" s="75"/>
      <c r="K129" s="7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85"/>
      <c r="C130" s="1"/>
      <c r="D130" s="1"/>
      <c r="E130" s="1"/>
      <c r="F130" s="1"/>
      <c r="G130" s="1"/>
      <c r="H130" s="1"/>
      <c r="I130" s="75"/>
      <c r="J130" s="75"/>
      <c r="K130" s="7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85"/>
      <c r="C131" s="1"/>
      <c r="D131" s="1"/>
      <c r="E131" s="1"/>
      <c r="F131" s="1"/>
      <c r="G131" s="1"/>
      <c r="H131" s="1"/>
      <c r="I131" s="75"/>
      <c r="J131" s="75"/>
      <c r="K131" s="7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85"/>
      <c r="C132" s="1"/>
      <c r="D132" s="1"/>
      <c r="E132" s="1"/>
      <c r="F132" s="1"/>
      <c r="G132" s="1"/>
      <c r="H132" s="1"/>
      <c r="I132" s="75"/>
      <c r="J132" s="75"/>
      <c r="K132" s="7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85"/>
      <c r="C133" s="1"/>
      <c r="D133" s="1"/>
      <c r="E133" s="1"/>
      <c r="F133" s="1"/>
      <c r="G133" s="1"/>
      <c r="H133" s="1"/>
      <c r="I133" s="75"/>
      <c r="J133" s="75"/>
      <c r="K133" s="7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85"/>
      <c r="C134" s="1"/>
      <c r="D134" s="1"/>
      <c r="E134" s="1"/>
      <c r="F134" s="1"/>
      <c r="G134" s="1"/>
      <c r="H134" s="1"/>
      <c r="I134" s="75"/>
      <c r="J134" s="75"/>
      <c r="K134" s="7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85"/>
      <c r="C135" s="1"/>
      <c r="D135" s="1"/>
      <c r="E135" s="1"/>
      <c r="F135" s="1"/>
      <c r="G135" s="1"/>
      <c r="H135" s="1"/>
      <c r="I135" s="75"/>
      <c r="J135" s="75"/>
      <c r="K135" s="7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85"/>
      <c r="C136" s="1"/>
      <c r="D136" s="1"/>
      <c r="E136" s="1"/>
      <c r="F136" s="1"/>
      <c r="G136" s="1"/>
      <c r="H136" s="1"/>
      <c r="I136" s="75"/>
      <c r="J136" s="75"/>
      <c r="K136" s="7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85"/>
      <c r="C137" s="1"/>
      <c r="D137" s="1"/>
      <c r="E137" s="1"/>
      <c r="F137" s="1"/>
      <c r="G137" s="1"/>
      <c r="H137" s="1"/>
      <c r="I137" s="75"/>
      <c r="J137" s="75"/>
      <c r="K137" s="7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85"/>
      <c r="C138" s="1"/>
      <c r="D138" s="1"/>
      <c r="E138" s="1"/>
      <c r="F138" s="1"/>
      <c r="G138" s="1"/>
      <c r="H138" s="1"/>
      <c r="I138" s="75"/>
      <c r="J138" s="75"/>
      <c r="K138" s="7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85"/>
      <c r="C139" s="1"/>
      <c r="D139" s="1"/>
      <c r="E139" s="1"/>
      <c r="F139" s="1"/>
      <c r="G139" s="1"/>
      <c r="H139" s="1"/>
      <c r="I139" s="75"/>
      <c r="J139" s="75"/>
      <c r="K139" s="7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85"/>
      <c r="C140" s="1"/>
      <c r="D140" s="1"/>
      <c r="E140" s="1"/>
      <c r="F140" s="1"/>
      <c r="G140" s="1"/>
      <c r="H140" s="1"/>
      <c r="I140" s="75"/>
      <c r="J140" s="75"/>
      <c r="K140" s="7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85"/>
      <c r="C141" s="1"/>
      <c r="D141" s="1"/>
      <c r="E141" s="1"/>
      <c r="F141" s="1"/>
      <c r="G141" s="1"/>
      <c r="H141" s="1"/>
      <c r="I141" s="75"/>
      <c r="J141" s="75"/>
      <c r="K141" s="7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85"/>
      <c r="C142" s="1"/>
      <c r="D142" s="1"/>
      <c r="E142" s="1"/>
      <c r="F142" s="1"/>
      <c r="G142" s="1"/>
      <c r="H142" s="1"/>
      <c r="I142" s="75"/>
      <c r="J142" s="75"/>
      <c r="K142" s="7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85"/>
      <c r="C143" s="1"/>
      <c r="D143" s="1"/>
      <c r="E143" s="1"/>
      <c r="F143" s="1"/>
      <c r="G143" s="1"/>
      <c r="H143" s="1"/>
      <c r="I143" s="75"/>
      <c r="J143" s="75"/>
      <c r="K143" s="7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85"/>
      <c r="C144" s="1"/>
      <c r="D144" s="1"/>
      <c r="E144" s="1"/>
      <c r="F144" s="1"/>
      <c r="G144" s="1"/>
      <c r="H144" s="1"/>
      <c r="I144" s="75"/>
      <c r="J144" s="75"/>
      <c r="K144" s="7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85"/>
      <c r="C145" s="1"/>
      <c r="D145" s="1"/>
      <c r="E145" s="1"/>
      <c r="F145" s="1"/>
      <c r="G145" s="1"/>
      <c r="H145" s="1"/>
      <c r="I145" s="75"/>
      <c r="J145" s="75"/>
      <c r="K145" s="7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85"/>
      <c r="C146" s="1"/>
      <c r="D146" s="1"/>
      <c r="E146" s="1"/>
      <c r="F146" s="1"/>
      <c r="G146" s="1"/>
      <c r="H146" s="1"/>
      <c r="I146" s="75"/>
      <c r="J146" s="75"/>
      <c r="K146" s="7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85"/>
      <c r="C147" s="1"/>
      <c r="D147" s="1"/>
      <c r="E147" s="1"/>
      <c r="F147" s="1"/>
      <c r="G147" s="1"/>
      <c r="H147" s="1"/>
      <c r="I147" s="75"/>
      <c r="J147" s="75"/>
      <c r="K147" s="7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85"/>
      <c r="C148" s="1"/>
      <c r="D148" s="1"/>
      <c r="E148" s="1"/>
      <c r="F148" s="1"/>
      <c r="G148" s="1"/>
      <c r="H148" s="1"/>
      <c r="I148" s="75"/>
      <c r="J148" s="75"/>
      <c r="K148" s="7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85"/>
      <c r="C149" s="1"/>
      <c r="D149" s="1"/>
      <c r="E149" s="1"/>
      <c r="F149" s="1"/>
      <c r="G149" s="1"/>
      <c r="H149" s="1"/>
      <c r="I149" s="75"/>
      <c r="J149" s="75"/>
      <c r="K149" s="7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85"/>
      <c r="C150" s="1"/>
      <c r="D150" s="1"/>
      <c r="E150" s="1"/>
      <c r="F150" s="1"/>
      <c r="G150" s="1"/>
      <c r="H150" s="1"/>
      <c r="I150" s="75"/>
      <c r="J150" s="75"/>
      <c r="K150" s="7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85"/>
      <c r="C151" s="1"/>
      <c r="D151" s="1"/>
      <c r="E151" s="1"/>
      <c r="F151" s="1"/>
      <c r="G151" s="1"/>
      <c r="H151" s="1"/>
      <c r="I151" s="75"/>
      <c r="J151" s="75"/>
      <c r="K151" s="7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85"/>
      <c r="C152" s="1"/>
      <c r="D152" s="1"/>
      <c r="E152" s="1"/>
      <c r="F152" s="1"/>
      <c r="G152" s="1"/>
      <c r="H152" s="1"/>
      <c r="I152" s="75"/>
      <c r="J152" s="75"/>
      <c r="K152" s="7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85"/>
      <c r="C153" s="1"/>
      <c r="D153" s="1"/>
      <c r="E153" s="1"/>
      <c r="F153" s="1"/>
      <c r="G153" s="1"/>
      <c r="H153" s="1"/>
      <c r="I153" s="75"/>
      <c r="J153" s="75"/>
      <c r="K153" s="7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85"/>
      <c r="C154" s="1"/>
      <c r="D154" s="1"/>
      <c r="E154" s="1"/>
      <c r="F154" s="1"/>
      <c r="G154" s="1"/>
      <c r="H154" s="1"/>
      <c r="I154" s="75"/>
      <c r="J154" s="75"/>
      <c r="K154" s="7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85"/>
      <c r="C155" s="1"/>
      <c r="D155" s="1"/>
      <c r="E155" s="1"/>
      <c r="F155" s="1"/>
      <c r="G155" s="1"/>
      <c r="H155" s="1"/>
      <c r="I155" s="75"/>
      <c r="J155" s="75"/>
      <c r="K155" s="7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85"/>
      <c r="C156" s="1"/>
      <c r="D156" s="1"/>
      <c r="E156" s="1"/>
      <c r="F156" s="1"/>
      <c r="G156" s="1"/>
      <c r="H156" s="1"/>
      <c r="I156" s="75"/>
      <c r="J156" s="75"/>
      <c r="K156" s="7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85"/>
      <c r="C157" s="1"/>
      <c r="D157" s="1"/>
      <c r="E157" s="1"/>
      <c r="F157" s="1"/>
      <c r="G157" s="1"/>
      <c r="H157" s="1"/>
      <c r="I157" s="75"/>
      <c r="J157" s="75"/>
      <c r="K157" s="7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85"/>
      <c r="C158" s="1"/>
      <c r="D158" s="1"/>
      <c r="E158" s="1"/>
      <c r="F158" s="1"/>
      <c r="G158" s="1"/>
      <c r="H158" s="1"/>
      <c r="I158" s="75"/>
      <c r="J158" s="75"/>
      <c r="K158" s="7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85"/>
      <c r="C159" s="1"/>
      <c r="D159" s="1"/>
      <c r="E159" s="1"/>
      <c r="F159" s="1"/>
      <c r="G159" s="1"/>
      <c r="H159" s="1"/>
      <c r="I159" s="75"/>
      <c r="J159" s="75"/>
      <c r="K159" s="7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85"/>
      <c r="C160" s="1"/>
      <c r="D160" s="1"/>
      <c r="E160" s="1"/>
      <c r="F160" s="1"/>
      <c r="G160" s="1"/>
      <c r="H160" s="1"/>
      <c r="I160" s="75"/>
      <c r="J160" s="75"/>
      <c r="K160" s="7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85"/>
      <c r="C161" s="1"/>
      <c r="D161" s="1"/>
      <c r="E161" s="1"/>
      <c r="F161" s="1"/>
      <c r="G161" s="1"/>
      <c r="H161" s="1"/>
      <c r="I161" s="75"/>
      <c r="J161" s="75"/>
      <c r="K161" s="7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85"/>
      <c r="C162" s="1"/>
      <c r="D162" s="1"/>
      <c r="E162" s="1"/>
      <c r="F162" s="1"/>
      <c r="G162" s="1"/>
      <c r="H162" s="1"/>
      <c r="I162" s="75"/>
      <c r="J162" s="75"/>
      <c r="K162" s="7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85"/>
      <c r="C163" s="1"/>
      <c r="D163" s="1"/>
      <c r="E163" s="1"/>
      <c r="F163" s="1"/>
      <c r="G163" s="1"/>
      <c r="H163" s="1"/>
      <c r="I163" s="75"/>
      <c r="J163" s="75"/>
      <c r="K163" s="7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85"/>
      <c r="C164" s="1"/>
      <c r="D164" s="1"/>
      <c r="E164" s="1"/>
      <c r="F164" s="1"/>
      <c r="G164" s="1"/>
      <c r="H164" s="1"/>
      <c r="I164" s="75"/>
      <c r="J164" s="75"/>
      <c r="K164" s="7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85"/>
      <c r="C165" s="1"/>
      <c r="D165" s="1"/>
      <c r="E165" s="1"/>
      <c r="F165" s="1"/>
      <c r="G165" s="1"/>
      <c r="H165" s="1"/>
      <c r="I165" s="75"/>
      <c r="J165" s="75"/>
      <c r="K165" s="7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85"/>
      <c r="C166" s="1"/>
      <c r="D166" s="1"/>
      <c r="E166" s="1"/>
      <c r="F166" s="1"/>
      <c r="G166" s="1"/>
      <c r="H166" s="1"/>
      <c r="I166" s="75"/>
      <c r="J166" s="75"/>
      <c r="K166" s="7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85"/>
      <c r="C167" s="1"/>
      <c r="D167" s="1"/>
      <c r="E167" s="1"/>
      <c r="F167" s="1"/>
      <c r="G167" s="1"/>
      <c r="H167" s="1"/>
      <c r="I167" s="75"/>
      <c r="J167" s="75"/>
      <c r="K167" s="7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85"/>
      <c r="C168" s="1"/>
      <c r="D168" s="1"/>
      <c r="E168" s="1"/>
      <c r="F168" s="1"/>
      <c r="G168" s="1"/>
      <c r="H168" s="1"/>
      <c r="I168" s="75"/>
      <c r="J168" s="75"/>
      <c r="K168" s="7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85"/>
      <c r="C169" s="1"/>
      <c r="D169" s="1"/>
      <c r="E169" s="1"/>
      <c r="F169" s="1"/>
      <c r="G169" s="1"/>
      <c r="H169" s="1"/>
      <c r="I169" s="75"/>
      <c r="J169" s="75"/>
      <c r="K169" s="7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85"/>
      <c r="C170" s="1"/>
      <c r="D170" s="1"/>
      <c r="E170" s="1"/>
      <c r="F170" s="1"/>
      <c r="G170" s="1"/>
      <c r="H170" s="1"/>
      <c r="I170" s="75"/>
      <c r="J170" s="75"/>
      <c r="K170" s="7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85"/>
      <c r="C171" s="1"/>
      <c r="D171" s="1"/>
      <c r="E171" s="1"/>
      <c r="F171" s="1"/>
      <c r="G171" s="1"/>
      <c r="H171" s="1"/>
      <c r="I171" s="75"/>
      <c r="J171" s="75"/>
      <c r="K171" s="7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85"/>
      <c r="C172" s="1"/>
      <c r="D172" s="1"/>
      <c r="E172" s="1"/>
      <c r="F172" s="1"/>
      <c r="G172" s="1"/>
      <c r="H172" s="1"/>
      <c r="I172" s="75"/>
      <c r="J172" s="75"/>
      <c r="K172" s="7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85"/>
      <c r="C173" s="1"/>
      <c r="D173" s="1"/>
      <c r="E173" s="1"/>
      <c r="F173" s="1"/>
      <c r="G173" s="1"/>
      <c r="H173" s="1"/>
      <c r="I173" s="75"/>
      <c r="J173" s="75"/>
      <c r="K173" s="7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85"/>
      <c r="C174" s="1"/>
      <c r="D174" s="1"/>
      <c r="E174" s="1"/>
      <c r="F174" s="1"/>
      <c r="G174" s="1"/>
      <c r="H174" s="1"/>
      <c r="I174" s="75"/>
      <c r="J174" s="75"/>
      <c r="K174" s="7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85"/>
      <c r="C175" s="1"/>
      <c r="D175" s="1"/>
      <c r="E175" s="1"/>
      <c r="F175" s="1"/>
      <c r="G175" s="1"/>
      <c r="H175" s="1"/>
      <c r="I175" s="75"/>
      <c r="J175" s="75"/>
      <c r="K175" s="7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85"/>
      <c r="C176" s="1"/>
      <c r="D176" s="1"/>
      <c r="E176" s="1"/>
      <c r="F176" s="1"/>
      <c r="G176" s="1"/>
      <c r="H176" s="1"/>
      <c r="I176" s="75"/>
      <c r="J176" s="75"/>
      <c r="K176" s="7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85"/>
      <c r="C177" s="1"/>
      <c r="D177" s="1"/>
      <c r="E177" s="1"/>
      <c r="F177" s="1"/>
      <c r="G177" s="1"/>
      <c r="H177" s="1"/>
      <c r="I177" s="75"/>
      <c r="J177" s="75"/>
      <c r="K177" s="7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85"/>
      <c r="C178" s="1"/>
      <c r="D178" s="1"/>
      <c r="E178" s="1"/>
      <c r="F178" s="1"/>
      <c r="G178" s="1"/>
      <c r="H178" s="1"/>
      <c r="I178" s="75"/>
      <c r="J178" s="75"/>
      <c r="K178" s="7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85"/>
      <c r="C179" s="1"/>
      <c r="D179" s="1"/>
      <c r="E179" s="1"/>
      <c r="F179" s="1"/>
      <c r="G179" s="1"/>
      <c r="H179" s="1"/>
      <c r="I179" s="75"/>
      <c r="J179" s="75"/>
      <c r="K179" s="7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85"/>
      <c r="C180" s="1"/>
      <c r="D180" s="1"/>
      <c r="E180" s="1"/>
      <c r="F180" s="1"/>
      <c r="G180" s="1"/>
      <c r="H180" s="1"/>
      <c r="I180" s="75"/>
      <c r="J180" s="75"/>
      <c r="K180" s="7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85"/>
      <c r="C181" s="1"/>
      <c r="D181" s="1"/>
      <c r="E181" s="1"/>
      <c r="F181" s="1"/>
      <c r="G181" s="1"/>
      <c r="H181" s="1"/>
      <c r="I181" s="75"/>
      <c r="J181" s="75"/>
      <c r="K181" s="7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85"/>
      <c r="C182" s="1"/>
      <c r="D182" s="1"/>
      <c r="E182" s="1"/>
      <c r="F182" s="1"/>
      <c r="G182" s="1"/>
      <c r="H182" s="1"/>
      <c r="I182" s="75"/>
      <c r="J182" s="75"/>
      <c r="K182" s="7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85"/>
      <c r="C183" s="1"/>
      <c r="D183" s="1"/>
      <c r="E183" s="1"/>
      <c r="F183" s="1"/>
      <c r="G183" s="1"/>
      <c r="H183" s="1"/>
      <c r="I183" s="75"/>
      <c r="J183" s="75"/>
      <c r="K183" s="7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85"/>
      <c r="C184" s="1"/>
      <c r="D184" s="1"/>
      <c r="E184" s="1"/>
      <c r="F184" s="1"/>
      <c r="G184" s="1"/>
      <c r="H184" s="1"/>
      <c r="I184" s="75"/>
      <c r="J184" s="75"/>
      <c r="K184" s="7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85"/>
      <c r="C185" s="1"/>
      <c r="D185" s="1"/>
      <c r="E185" s="1"/>
      <c r="F185" s="1"/>
      <c r="G185" s="1"/>
      <c r="H185" s="1"/>
      <c r="I185" s="75"/>
      <c r="J185" s="75"/>
      <c r="K185" s="7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85"/>
      <c r="C186" s="1"/>
      <c r="D186" s="1"/>
      <c r="E186" s="1"/>
      <c r="F186" s="1"/>
      <c r="G186" s="1"/>
      <c r="H186" s="1"/>
      <c r="I186" s="75"/>
      <c r="J186" s="75"/>
      <c r="K186" s="7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85"/>
      <c r="C187" s="1"/>
      <c r="D187" s="1"/>
      <c r="E187" s="1"/>
      <c r="F187" s="1"/>
      <c r="G187" s="1"/>
      <c r="H187" s="1"/>
      <c r="I187" s="75"/>
      <c r="J187" s="75"/>
      <c r="K187" s="7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85"/>
      <c r="C188" s="1"/>
      <c r="D188" s="1"/>
      <c r="E188" s="1"/>
      <c r="F188" s="1"/>
      <c r="G188" s="1"/>
      <c r="H188" s="1"/>
      <c r="I188" s="75"/>
      <c r="J188" s="75"/>
      <c r="K188" s="7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85"/>
      <c r="C189" s="1"/>
      <c r="D189" s="1"/>
      <c r="E189" s="1"/>
      <c r="F189" s="1"/>
      <c r="G189" s="1"/>
      <c r="H189" s="1"/>
      <c r="I189" s="75"/>
      <c r="J189" s="75"/>
      <c r="K189" s="7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85"/>
      <c r="C190" s="1"/>
      <c r="D190" s="1"/>
      <c r="E190" s="1"/>
      <c r="F190" s="1"/>
      <c r="G190" s="1"/>
      <c r="H190" s="1"/>
      <c r="I190" s="75"/>
      <c r="J190" s="75"/>
      <c r="K190" s="7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85"/>
      <c r="C191" s="1"/>
      <c r="D191" s="1"/>
      <c r="E191" s="1"/>
      <c r="F191" s="1"/>
      <c r="G191" s="1"/>
      <c r="H191" s="1"/>
      <c r="I191" s="75"/>
      <c r="J191" s="75"/>
      <c r="K191" s="7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85"/>
      <c r="C192" s="1"/>
      <c r="D192" s="1"/>
      <c r="E192" s="1"/>
      <c r="F192" s="1"/>
      <c r="G192" s="1"/>
      <c r="H192" s="1"/>
      <c r="I192" s="75"/>
      <c r="J192" s="75"/>
      <c r="K192" s="7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85"/>
      <c r="C193" s="1"/>
      <c r="D193" s="1"/>
      <c r="E193" s="1"/>
      <c r="F193" s="1"/>
      <c r="G193" s="1"/>
      <c r="H193" s="1"/>
      <c r="I193" s="75"/>
      <c r="J193" s="75"/>
      <c r="K193" s="7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85"/>
      <c r="C194" s="1"/>
      <c r="D194" s="1"/>
      <c r="E194" s="1"/>
      <c r="F194" s="1"/>
      <c r="G194" s="1"/>
      <c r="H194" s="1"/>
      <c r="I194" s="75"/>
      <c r="J194" s="75"/>
      <c r="K194" s="7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85"/>
      <c r="C195" s="1"/>
      <c r="D195" s="1"/>
      <c r="E195" s="1"/>
      <c r="F195" s="1"/>
      <c r="G195" s="1"/>
      <c r="H195" s="1"/>
      <c r="I195" s="75"/>
      <c r="J195" s="75"/>
      <c r="K195" s="7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85"/>
      <c r="C196" s="1"/>
      <c r="D196" s="1"/>
      <c r="E196" s="1"/>
      <c r="F196" s="1"/>
      <c r="G196" s="1"/>
      <c r="H196" s="1"/>
      <c r="I196" s="75"/>
      <c r="J196" s="75"/>
      <c r="K196" s="7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85"/>
      <c r="C197" s="1"/>
      <c r="D197" s="1"/>
      <c r="E197" s="1"/>
      <c r="F197" s="1"/>
      <c r="G197" s="1"/>
      <c r="H197" s="1"/>
      <c r="I197" s="75"/>
      <c r="J197" s="75"/>
      <c r="K197" s="7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85"/>
      <c r="C198" s="1"/>
      <c r="D198" s="1"/>
      <c r="E198" s="1"/>
      <c r="F198" s="1"/>
      <c r="G198" s="1"/>
      <c r="H198" s="1"/>
      <c r="I198" s="75"/>
      <c r="J198" s="75"/>
      <c r="K198" s="7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85"/>
      <c r="C199" s="1"/>
      <c r="D199" s="1"/>
      <c r="E199" s="1"/>
      <c r="F199" s="1"/>
      <c r="G199" s="1"/>
      <c r="H199" s="1"/>
      <c r="I199" s="75"/>
      <c r="J199" s="75"/>
      <c r="K199" s="7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85"/>
      <c r="C200" s="1"/>
      <c r="D200" s="1"/>
      <c r="E200" s="1"/>
      <c r="F200" s="1"/>
      <c r="G200" s="1"/>
      <c r="H200" s="1"/>
      <c r="I200" s="75"/>
      <c r="J200" s="75"/>
      <c r="K200" s="7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85"/>
      <c r="C201" s="1"/>
      <c r="D201" s="1"/>
      <c r="E201" s="1"/>
      <c r="F201" s="1"/>
      <c r="G201" s="1"/>
      <c r="H201" s="1"/>
      <c r="I201" s="75"/>
      <c r="J201" s="75"/>
      <c r="K201" s="7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85"/>
      <c r="C202" s="1"/>
      <c r="D202" s="1"/>
      <c r="E202" s="1"/>
      <c r="F202" s="1"/>
      <c r="G202" s="1"/>
      <c r="H202" s="1"/>
      <c r="I202" s="75"/>
      <c r="J202" s="75"/>
      <c r="K202" s="7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85"/>
      <c r="C203" s="1"/>
      <c r="D203" s="1"/>
      <c r="E203" s="1"/>
      <c r="F203" s="1"/>
      <c r="G203" s="1"/>
      <c r="H203" s="1"/>
      <c r="I203" s="75"/>
      <c r="J203" s="75"/>
      <c r="K203" s="7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85"/>
      <c r="C204" s="1"/>
      <c r="D204" s="1"/>
      <c r="E204" s="1"/>
      <c r="F204" s="1"/>
      <c r="G204" s="1"/>
      <c r="H204" s="1"/>
      <c r="I204" s="75"/>
      <c r="J204" s="75"/>
      <c r="K204" s="7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85"/>
      <c r="C205" s="1"/>
      <c r="D205" s="1"/>
      <c r="E205" s="1"/>
      <c r="F205" s="1"/>
      <c r="G205" s="1"/>
      <c r="H205" s="1"/>
      <c r="I205" s="75"/>
      <c r="J205" s="75"/>
      <c r="K205" s="7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85"/>
      <c r="C206" s="1"/>
      <c r="D206" s="1"/>
      <c r="E206" s="1"/>
      <c r="F206" s="1"/>
      <c r="G206" s="1"/>
      <c r="H206" s="1"/>
      <c r="I206" s="75"/>
      <c r="J206" s="75"/>
      <c r="K206" s="7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85"/>
      <c r="C207" s="1"/>
      <c r="D207" s="1"/>
      <c r="E207" s="1"/>
      <c r="F207" s="1"/>
      <c r="G207" s="1"/>
      <c r="H207" s="1"/>
      <c r="I207" s="75"/>
      <c r="J207" s="75"/>
      <c r="K207" s="7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85"/>
      <c r="C208" s="1"/>
      <c r="D208" s="1"/>
      <c r="E208" s="1"/>
      <c r="F208" s="1"/>
      <c r="G208" s="1"/>
      <c r="H208" s="1"/>
      <c r="I208" s="75"/>
      <c r="J208" s="75"/>
      <c r="K208" s="7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85"/>
      <c r="C209" s="1"/>
      <c r="D209" s="1"/>
      <c r="E209" s="1"/>
      <c r="F209" s="1"/>
      <c r="G209" s="1"/>
      <c r="H209" s="1"/>
      <c r="I209" s="75"/>
      <c r="J209" s="75"/>
      <c r="K209" s="7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85"/>
      <c r="C210" s="1"/>
      <c r="D210" s="1"/>
      <c r="E210" s="1"/>
      <c r="F210" s="1"/>
      <c r="G210" s="1"/>
      <c r="H210" s="1"/>
      <c r="I210" s="75"/>
      <c r="J210" s="75"/>
      <c r="K210" s="7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85"/>
      <c r="C211" s="1"/>
      <c r="D211" s="1"/>
      <c r="E211" s="1"/>
      <c r="F211" s="1"/>
      <c r="G211" s="1"/>
      <c r="H211" s="1"/>
      <c r="I211" s="75"/>
      <c r="J211" s="75"/>
      <c r="K211" s="7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85"/>
      <c r="C212" s="1"/>
      <c r="D212" s="1"/>
      <c r="E212" s="1"/>
      <c r="F212" s="1"/>
      <c r="G212" s="1"/>
      <c r="H212" s="1"/>
      <c r="I212" s="75"/>
      <c r="J212" s="75"/>
      <c r="K212" s="7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85"/>
      <c r="C213" s="1"/>
      <c r="D213" s="1"/>
      <c r="E213" s="1"/>
      <c r="F213" s="1"/>
      <c r="G213" s="1"/>
      <c r="H213" s="1"/>
      <c r="I213" s="75"/>
      <c r="J213" s="75"/>
      <c r="K213" s="7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85"/>
      <c r="C214" s="1"/>
      <c r="D214" s="1"/>
      <c r="E214" s="1"/>
      <c r="F214" s="1"/>
      <c r="G214" s="1"/>
      <c r="H214" s="1"/>
      <c r="I214" s="75"/>
      <c r="J214" s="75"/>
      <c r="K214" s="7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85"/>
      <c r="C215" s="1"/>
      <c r="D215" s="1"/>
      <c r="E215" s="1"/>
      <c r="F215" s="1"/>
      <c r="G215" s="1"/>
      <c r="H215" s="1"/>
      <c r="I215" s="75"/>
      <c r="J215" s="75"/>
      <c r="K215" s="7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85"/>
      <c r="C216" s="1"/>
      <c r="D216" s="1"/>
      <c r="E216" s="1"/>
      <c r="F216" s="1"/>
      <c r="G216" s="1"/>
      <c r="H216" s="1"/>
      <c r="I216" s="75"/>
      <c r="J216" s="75"/>
      <c r="K216" s="7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85"/>
      <c r="C217" s="1"/>
      <c r="D217" s="1"/>
      <c r="E217" s="1"/>
      <c r="F217" s="1"/>
      <c r="G217" s="1"/>
      <c r="H217" s="1"/>
      <c r="I217" s="75"/>
      <c r="J217" s="75"/>
      <c r="K217" s="7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85"/>
      <c r="C218" s="1"/>
      <c r="D218" s="1"/>
      <c r="E218" s="1"/>
      <c r="F218" s="1"/>
      <c r="G218" s="1"/>
      <c r="H218" s="1"/>
      <c r="I218" s="75"/>
      <c r="J218" s="75"/>
      <c r="K218" s="7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85"/>
      <c r="C219" s="1"/>
      <c r="D219" s="1"/>
      <c r="E219" s="1"/>
      <c r="F219" s="1"/>
      <c r="G219" s="1"/>
      <c r="H219" s="1"/>
      <c r="I219" s="75"/>
      <c r="J219" s="75"/>
      <c r="K219" s="7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85"/>
      <c r="C220" s="1"/>
      <c r="D220" s="1"/>
      <c r="E220" s="1"/>
      <c r="F220" s="1"/>
      <c r="G220" s="1"/>
      <c r="H220" s="1"/>
      <c r="I220" s="75"/>
      <c r="J220" s="75"/>
      <c r="K220" s="7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85"/>
      <c r="C221" s="1"/>
      <c r="D221" s="1"/>
      <c r="E221" s="1"/>
      <c r="F221" s="1"/>
      <c r="G221" s="1"/>
      <c r="H221" s="1"/>
      <c r="I221" s="75"/>
      <c r="J221" s="75"/>
      <c r="K221" s="7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85"/>
      <c r="C222" s="1"/>
      <c r="D222" s="1"/>
      <c r="E222" s="1"/>
      <c r="F222" s="1"/>
      <c r="G222" s="1"/>
      <c r="H222" s="1"/>
      <c r="I222" s="75"/>
      <c r="J222" s="75"/>
      <c r="K222" s="7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85"/>
      <c r="C223" s="1"/>
      <c r="D223" s="1"/>
      <c r="E223" s="1"/>
      <c r="F223" s="1"/>
      <c r="G223" s="1"/>
      <c r="H223" s="1"/>
      <c r="I223" s="75"/>
      <c r="J223" s="75"/>
      <c r="K223" s="7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85"/>
      <c r="C224" s="1"/>
      <c r="D224" s="1"/>
      <c r="E224" s="1"/>
      <c r="F224" s="1"/>
      <c r="G224" s="1"/>
      <c r="H224" s="1"/>
      <c r="I224" s="75"/>
      <c r="J224" s="75"/>
      <c r="K224" s="7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85"/>
      <c r="C225" s="1"/>
      <c r="D225" s="1"/>
      <c r="E225" s="1"/>
      <c r="F225" s="1"/>
      <c r="G225" s="1"/>
      <c r="H225" s="1"/>
      <c r="I225" s="75"/>
      <c r="J225" s="75"/>
      <c r="K225" s="7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85"/>
      <c r="C226" s="1"/>
      <c r="D226" s="1"/>
      <c r="E226" s="1"/>
      <c r="F226" s="1"/>
      <c r="G226" s="1"/>
      <c r="H226" s="1"/>
      <c r="I226" s="75"/>
      <c r="J226" s="75"/>
      <c r="K226" s="7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85"/>
      <c r="C227" s="1"/>
      <c r="D227" s="1"/>
      <c r="E227" s="1"/>
      <c r="F227" s="1"/>
      <c r="G227" s="1"/>
      <c r="H227" s="1"/>
      <c r="I227" s="75"/>
      <c r="J227" s="75"/>
      <c r="K227" s="7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85"/>
      <c r="C228" s="1"/>
      <c r="D228" s="1"/>
      <c r="E228" s="1"/>
      <c r="F228" s="1"/>
      <c r="G228" s="1"/>
      <c r="H228" s="1"/>
      <c r="I228" s="75"/>
      <c r="J228" s="75"/>
      <c r="K228" s="7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85"/>
      <c r="C229" s="1"/>
      <c r="D229" s="1"/>
      <c r="E229" s="1"/>
      <c r="F229" s="1"/>
      <c r="G229" s="1"/>
      <c r="H229" s="1"/>
      <c r="I229" s="75"/>
      <c r="J229" s="75"/>
      <c r="K229" s="7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85"/>
      <c r="C230" s="1"/>
      <c r="D230" s="1"/>
      <c r="E230" s="1"/>
      <c r="F230" s="1"/>
      <c r="G230" s="1"/>
      <c r="H230" s="1"/>
      <c r="I230" s="75"/>
      <c r="J230" s="75"/>
      <c r="K230" s="7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85"/>
      <c r="C231" s="1"/>
      <c r="D231" s="1"/>
      <c r="E231" s="1"/>
      <c r="F231" s="1"/>
      <c r="G231" s="1"/>
      <c r="H231" s="1"/>
      <c r="I231" s="75"/>
      <c r="J231" s="75"/>
      <c r="K231" s="7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85"/>
      <c r="C232" s="1"/>
      <c r="D232" s="1"/>
      <c r="E232" s="1"/>
      <c r="F232" s="1"/>
      <c r="G232" s="1"/>
      <c r="H232" s="1"/>
      <c r="I232" s="75"/>
      <c r="J232" s="75"/>
      <c r="K232" s="7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85"/>
      <c r="C233" s="1"/>
      <c r="D233" s="1"/>
      <c r="E233" s="1"/>
      <c r="F233" s="1"/>
      <c r="G233" s="1"/>
      <c r="H233" s="1"/>
      <c r="I233" s="75"/>
      <c r="J233" s="75"/>
      <c r="K233" s="7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85"/>
      <c r="C234" s="1"/>
      <c r="D234" s="1"/>
      <c r="E234" s="1"/>
      <c r="F234" s="1"/>
      <c r="G234" s="1"/>
      <c r="H234" s="1"/>
      <c r="I234" s="75"/>
      <c r="J234" s="75"/>
      <c r="K234" s="7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85"/>
      <c r="C235" s="1"/>
      <c r="D235" s="1"/>
      <c r="E235" s="1"/>
      <c r="F235" s="1"/>
      <c r="G235" s="1"/>
      <c r="H235" s="1"/>
      <c r="I235" s="75"/>
      <c r="J235" s="75"/>
      <c r="K235" s="7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85"/>
      <c r="C236" s="1"/>
      <c r="D236" s="1"/>
      <c r="E236" s="1"/>
      <c r="F236" s="1"/>
      <c r="G236" s="1"/>
      <c r="H236" s="1"/>
      <c r="I236" s="75"/>
      <c r="J236" s="75"/>
      <c r="K236" s="7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85"/>
      <c r="C237" s="1"/>
      <c r="D237" s="1"/>
      <c r="E237" s="1"/>
      <c r="F237" s="1"/>
      <c r="G237" s="1"/>
      <c r="H237" s="1"/>
      <c r="I237" s="75"/>
      <c r="J237" s="75"/>
      <c r="K237" s="7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85"/>
      <c r="C238" s="1"/>
      <c r="D238" s="1"/>
      <c r="E238" s="1"/>
      <c r="F238" s="1"/>
      <c r="G238" s="1"/>
      <c r="H238" s="1"/>
      <c r="I238" s="75"/>
      <c r="J238" s="75"/>
      <c r="K238" s="7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85"/>
      <c r="C239" s="1"/>
      <c r="D239" s="1"/>
      <c r="E239" s="1"/>
      <c r="F239" s="1"/>
      <c r="G239" s="1"/>
      <c r="H239" s="1"/>
      <c r="I239" s="75"/>
      <c r="J239" s="75"/>
      <c r="K239" s="7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85"/>
      <c r="C240" s="1"/>
      <c r="D240" s="1"/>
      <c r="E240" s="1"/>
      <c r="F240" s="1"/>
      <c r="G240" s="1"/>
      <c r="H240" s="1"/>
      <c r="I240" s="75"/>
      <c r="J240" s="75"/>
      <c r="K240" s="7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85"/>
      <c r="C241" s="1"/>
      <c r="D241" s="1"/>
      <c r="E241" s="1"/>
      <c r="F241" s="1"/>
      <c r="G241" s="1"/>
      <c r="H241" s="1"/>
      <c r="I241" s="75"/>
      <c r="J241" s="75"/>
      <c r="K241" s="7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85"/>
      <c r="C242" s="1"/>
      <c r="D242" s="1"/>
      <c r="E242" s="1"/>
      <c r="F242" s="1"/>
      <c r="G242" s="1"/>
      <c r="H242" s="1"/>
      <c r="I242" s="75"/>
      <c r="J242" s="75"/>
      <c r="K242" s="7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85"/>
      <c r="C243" s="1"/>
      <c r="D243" s="1"/>
      <c r="E243" s="1"/>
      <c r="F243" s="1"/>
      <c r="G243" s="1"/>
      <c r="H243" s="1"/>
      <c r="I243" s="75"/>
      <c r="J243" s="75"/>
      <c r="K243" s="7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85"/>
      <c r="C244" s="1"/>
      <c r="D244" s="1"/>
      <c r="E244" s="1"/>
      <c r="F244" s="1"/>
      <c r="G244" s="1"/>
      <c r="H244" s="1"/>
      <c r="I244" s="75"/>
      <c r="J244" s="75"/>
      <c r="K244" s="7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/>
    <row r="246" spans="1:26" ht="15.75" customHeight="1" x14ac:dyDescent="0.35"/>
    <row r="247" spans="1:26" ht="15.75" customHeight="1" x14ac:dyDescent="0.35"/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6">
    <mergeCell ref="L2:O2"/>
    <mergeCell ref="P2:P3"/>
    <mergeCell ref="B2:B3"/>
    <mergeCell ref="C2:C3"/>
    <mergeCell ref="D2:D3"/>
    <mergeCell ref="E2:F2"/>
    <mergeCell ref="G2:G3"/>
    <mergeCell ref="H2:H3"/>
    <mergeCell ref="I2:K2"/>
    <mergeCell ref="L4:L5"/>
    <mergeCell ref="M4:M5"/>
    <mergeCell ref="N4:N5"/>
    <mergeCell ref="O4:O5"/>
    <mergeCell ref="P4:P5"/>
    <mergeCell ref="C4:C5"/>
    <mergeCell ref="D4:D5"/>
    <mergeCell ref="H4:H5"/>
    <mergeCell ref="I4:I5"/>
    <mergeCell ref="J4:J5"/>
    <mergeCell ref="K4:K5"/>
    <mergeCell ref="L7:L8"/>
    <mergeCell ref="M7:M8"/>
    <mergeCell ref="L22:L24"/>
    <mergeCell ref="M22:M24"/>
    <mergeCell ref="G22:G24"/>
    <mergeCell ref="H22:H24"/>
    <mergeCell ref="N7:N8"/>
    <mergeCell ref="O7:O8"/>
    <mergeCell ref="P7:P8"/>
    <mergeCell ref="K9:K11"/>
    <mergeCell ref="L9:L11"/>
    <mergeCell ref="M9:M11"/>
    <mergeCell ref="N9:N11"/>
    <mergeCell ref="O9:O11"/>
    <mergeCell ref="P9:P11"/>
    <mergeCell ref="O19:O21"/>
    <mergeCell ref="P19:P21"/>
    <mergeCell ref="J7:J8"/>
    <mergeCell ref="K7:K8"/>
    <mergeCell ref="P26:P28"/>
    <mergeCell ref="J29:J31"/>
    <mergeCell ref="K29:K31"/>
    <mergeCell ref="L29:L31"/>
    <mergeCell ref="M29:M31"/>
    <mergeCell ref="P29:P31"/>
    <mergeCell ref="N22:N24"/>
    <mergeCell ref="O22:O24"/>
    <mergeCell ref="P22:P24"/>
    <mergeCell ref="B25:K25"/>
    <mergeCell ref="I22:I24"/>
    <mergeCell ref="I26:I28"/>
    <mergeCell ref="J26:J28"/>
    <mergeCell ref="K26:K28"/>
    <mergeCell ref="L26:L28"/>
    <mergeCell ref="M26:M28"/>
    <mergeCell ref="N26:N28"/>
    <mergeCell ref="J22:J24"/>
    <mergeCell ref="K22:K24"/>
    <mergeCell ref="C19:C21"/>
    <mergeCell ref="D19:D21"/>
    <mergeCell ref="I19:I21"/>
    <mergeCell ref="J19:J21"/>
    <mergeCell ref="K19:K21"/>
    <mergeCell ref="L19:L21"/>
    <mergeCell ref="M19:M21"/>
    <mergeCell ref="N19:N21"/>
    <mergeCell ref="B4:B5"/>
    <mergeCell ref="B7:B11"/>
    <mergeCell ref="C7:C8"/>
    <mergeCell ref="D7:D8"/>
    <mergeCell ref="C9:C11"/>
    <mergeCell ref="D9:D11"/>
    <mergeCell ref="B13:B24"/>
    <mergeCell ref="C22:C24"/>
    <mergeCell ref="D22:D24"/>
    <mergeCell ref="B6:K6"/>
    <mergeCell ref="B12:K12"/>
    <mergeCell ref="C13:C18"/>
    <mergeCell ref="D13:D18"/>
    <mergeCell ref="G7:G8"/>
    <mergeCell ref="H7:H8"/>
    <mergeCell ref="I7:I8"/>
    <mergeCell ref="O32:O34"/>
    <mergeCell ref="P32:P34"/>
    <mergeCell ref="B35:K35"/>
    <mergeCell ref="B37:K37"/>
    <mergeCell ref="B38:K38"/>
    <mergeCell ref="C39:D39"/>
    <mergeCell ref="C40:D40"/>
    <mergeCell ref="I29:I31"/>
    <mergeCell ref="I32:I34"/>
    <mergeCell ref="J32:J34"/>
    <mergeCell ref="K32:K34"/>
    <mergeCell ref="L32:L34"/>
    <mergeCell ref="M32:M34"/>
    <mergeCell ref="N32:N34"/>
    <mergeCell ref="B26:B34"/>
    <mergeCell ref="C26:C28"/>
    <mergeCell ref="D26:D28"/>
    <mergeCell ref="C29:C31"/>
    <mergeCell ref="D29:D31"/>
    <mergeCell ref="C32:C34"/>
    <mergeCell ref="D32:D34"/>
    <mergeCell ref="N29:N31"/>
    <mergeCell ref="O29:O31"/>
    <mergeCell ref="O26:O28"/>
  </mergeCells>
  <pageMargins left="0.7" right="0.7" top="0.75" bottom="0.75" header="0.3" footer="0.3"/>
  <pageSetup paperSize="8" scale="60" orientation="landscape" r:id="rId1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76"/>
  <sheetViews>
    <sheetView topLeftCell="A55" zoomScale="55" zoomScaleNormal="55" workbookViewId="0">
      <selection activeCell="D11" sqref="D11"/>
    </sheetView>
  </sheetViews>
  <sheetFormatPr defaultColWidth="14.453125" defaultRowHeight="15" customHeight="1" x14ac:dyDescent="0.35"/>
  <cols>
    <col min="1" max="1" width="5" customWidth="1"/>
    <col min="2" max="2" width="17.26953125" customWidth="1"/>
    <col min="3" max="3" width="51.54296875" customWidth="1"/>
    <col min="4" max="4" width="47.7265625" customWidth="1"/>
    <col min="5" max="5" width="23.54296875" customWidth="1"/>
    <col min="6" max="6" width="21.26953125" style="117" customWidth="1"/>
    <col min="7" max="8" width="25" customWidth="1"/>
    <col min="9" max="10" width="21.453125" customWidth="1"/>
    <col min="11" max="11" width="20.26953125" customWidth="1"/>
    <col min="12" max="12" width="15.54296875" customWidth="1"/>
  </cols>
  <sheetData>
    <row r="1" spans="1:12" ht="26.25" customHeight="1" thickBot="1" x14ac:dyDescent="0.4">
      <c r="A1" s="171"/>
      <c r="B1" s="172" t="s">
        <v>160</v>
      </c>
      <c r="C1" s="173"/>
      <c r="D1" s="173"/>
      <c r="E1" s="173"/>
      <c r="F1" s="174"/>
      <c r="G1" s="173"/>
      <c r="H1" s="173"/>
      <c r="I1" s="175"/>
      <c r="J1" s="176"/>
      <c r="K1" s="177"/>
      <c r="L1" s="178"/>
    </row>
    <row r="2" spans="1:12" ht="36.75" customHeight="1" thickBot="1" x14ac:dyDescent="0.4">
      <c r="A2" s="179"/>
      <c r="B2" s="364" t="s">
        <v>161</v>
      </c>
      <c r="C2" s="365"/>
      <c r="D2" s="365"/>
      <c r="E2" s="365"/>
      <c r="F2" s="366"/>
      <c r="G2" s="367"/>
      <c r="H2" s="180" t="s">
        <v>162</v>
      </c>
      <c r="I2" s="181" t="s">
        <v>163</v>
      </c>
      <c r="J2" s="181"/>
      <c r="K2" s="368" t="s">
        <v>164</v>
      </c>
      <c r="L2" s="369"/>
    </row>
    <row r="3" spans="1:12" ht="55.5" customHeight="1" thickBot="1" x14ac:dyDescent="0.4">
      <c r="A3" s="182" t="s">
        <v>165</v>
      </c>
      <c r="B3" s="183" t="s">
        <v>166</v>
      </c>
      <c r="C3" s="184" t="s">
        <v>167</v>
      </c>
      <c r="D3" s="183" t="s">
        <v>168</v>
      </c>
      <c r="E3" s="185" t="s">
        <v>169</v>
      </c>
      <c r="F3" s="186" t="s">
        <v>170</v>
      </c>
      <c r="G3" s="187" t="s">
        <v>171</v>
      </c>
      <c r="H3" s="188" t="s">
        <v>172</v>
      </c>
      <c r="I3" s="189" t="s">
        <v>173</v>
      </c>
      <c r="J3" s="189" t="s">
        <v>444</v>
      </c>
      <c r="K3" s="190" t="s">
        <v>174</v>
      </c>
      <c r="L3" s="189" t="s">
        <v>74</v>
      </c>
    </row>
    <row r="4" spans="1:12" ht="26.25" customHeight="1" x14ac:dyDescent="0.35">
      <c r="A4" s="191">
        <v>1</v>
      </c>
      <c r="B4" s="192" t="s">
        <v>175</v>
      </c>
      <c r="C4" s="254" t="s">
        <v>464</v>
      </c>
      <c r="D4" s="261" t="s">
        <v>472</v>
      </c>
      <c r="E4" s="193">
        <v>55</v>
      </c>
      <c r="F4" s="194"/>
      <c r="G4" s="194" t="s">
        <v>178</v>
      </c>
      <c r="H4" s="194"/>
      <c r="I4" s="193"/>
      <c r="J4" s="193">
        <f>E4</f>
        <v>55</v>
      </c>
      <c r="K4" s="193"/>
      <c r="L4" s="193"/>
    </row>
    <row r="5" spans="1:12" ht="26.25" customHeight="1" x14ac:dyDescent="0.35">
      <c r="A5" s="191">
        <v>2</v>
      </c>
      <c r="B5" s="195" t="s">
        <v>175</v>
      </c>
      <c r="C5" s="256" t="s">
        <v>466</v>
      </c>
      <c r="D5" s="255" t="s">
        <v>465</v>
      </c>
      <c r="E5" s="197">
        <v>21000</v>
      </c>
      <c r="F5" s="198"/>
      <c r="G5" s="257" t="s">
        <v>340</v>
      </c>
      <c r="H5" s="197">
        <f>E5</f>
        <v>21000</v>
      </c>
      <c r="I5" s="197"/>
      <c r="J5" s="197"/>
      <c r="K5" s="197"/>
      <c r="L5" s="197"/>
    </row>
    <row r="6" spans="1:12" ht="26.25" customHeight="1" x14ac:dyDescent="0.35">
      <c r="A6" s="191">
        <v>3</v>
      </c>
      <c r="B6" s="195" t="s">
        <v>175</v>
      </c>
      <c r="C6" s="196" t="s">
        <v>181</v>
      </c>
      <c r="D6" s="191" t="s">
        <v>182</v>
      </c>
      <c r="E6" s="197">
        <v>109</v>
      </c>
      <c r="F6" s="199"/>
      <c r="G6" s="194" t="s">
        <v>178</v>
      </c>
      <c r="H6" s="197"/>
      <c r="I6" s="197"/>
      <c r="J6" s="197">
        <f>E6</f>
        <v>109</v>
      </c>
      <c r="K6" s="197"/>
      <c r="L6" s="197"/>
    </row>
    <row r="7" spans="1:12" ht="26.25" customHeight="1" x14ac:dyDescent="0.35">
      <c r="A7" s="191">
        <v>4</v>
      </c>
      <c r="B7" s="195" t="s">
        <v>175</v>
      </c>
      <c r="C7" s="196" t="s">
        <v>183</v>
      </c>
      <c r="D7" s="191" t="s">
        <v>182</v>
      </c>
      <c r="E7" s="197">
        <v>109</v>
      </c>
      <c r="F7" s="257"/>
      <c r="G7" s="194" t="s">
        <v>340</v>
      </c>
      <c r="H7" s="197"/>
      <c r="I7" s="197"/>
      <c r="J7" s="197">
        <f>E7</f>
        <v>109</v>
      </c>
      <c r="K7" s="197"/>
      <c r="L7" s="197"/>
    </row>
    <row r="8" spans="1:12" ht="26.25" customHeight="1" x14ac:dyDescent="0.35">
      <c r="A8" s="191">
        <v>7</v>
      </c>
      <c r="B8" s="195" t="s">
        <v>184</v>
      </c>
      <c r="C8" s="254" t="s">
        <v>467</v>
      </c>
      <c r="D8" s="255" t="s">
        <v>468</v>
      </c>
      <c r="E8" s="197">
        <v>185</v>
      </c>
      <c r="F8" s="194"/>
      <c r="G8" s="194" t="s">
        <v>340</v>
      </c>
      <c r="H8" s="197"/>
      <c r="I8" s="197"/>
      <c r="J8" s="197"/>
      <c r="K8" s="197">
        <f>E8</f>
        <v>185</v>
      </c>
      <c r="L8" s="197"/>
    </row>
    <row r="9" spans="1:12" ht="26.25" customHeight="1" x14ac:dyDescent="0.35">
      <c r="A9" s="191">
        <v>8</v>
      </c>
      <c r="B9" s="195" t="s">
        <v>184</v>
      </c>
      <c r="C9" s="254" t="s">
        <v>470</v>
      </c>
      <c r="D9" s="255" t="s">
        <v>469</v>
      </c>
      <c r="E9" s="197">
        <v>528.30999999999995</v>
      </c>
      <c r="F9" s="194"/>
      <c r="G9" s="194" t="s">
        <v>340</v>
      </c>
      <c r="H9" s="197"/>
      <c r="I9" s="197"/>
      <c r="J9" s="197"/>
      <c r="K9" s="197">
        <f>E9</f>
        <v>528.30999999999995</v>
      </c>
      <c r="L9" s="197"/>
    </row>
    <row r="10" spans="1:12" ht="26.25" customHeight="1" x14ac:dyDescent="0.35">
      <c r="A10" s="191">
        <v>10</v>
      </c>
      <c r="B10" s="195" t="s">
        <v>184</v>
      </c>
      <c r="C10" s="196" t="s">
        <v>176</v>
      </c>
      <c r="D10" s="191" t="s">
        <v>177</v>
      </c>
      <c r="E10" s="197">
        <v>55</v>
      </c>
      <c r="F10" s="194"/>
      <c r="G10" s="194" t="s">
        <v>340</v>
      </c>
      <c r="H10" s="197"/>
      <c r="I10" s="197"/>
      <c r="J10" s="197">
        <f>E10</f>
        <v>55</v>
      </c>
      <c r="K10" s="197"/>
      <c r="L10" s="197"/>
    </row>
    <row r="11" spans="1:12" ht="26.25" customHeight="1" x14ac:dyDescent="0.35">
      <c r="A11" s="191">
        <v>13</v>
      </c>
      <c r="B11" s="195" t="s">
        <v>187</v>
      </c>
      <c r="C11" s="196" t="s">
        <v>188</v>
      </c>
      <c r="D11" s="191" t="s">
        <v>189</v>
      </c>
      <c r="E11" s="197">
        <v>15499</v>
      </c>
      <c r="F11" s="199"/>
      <c r="G11" s="194" t="s">
        <v>340</v>
      </c>
      <c r="H11" s="197"/>
      <c r="I11" s="197"/>
      <c r="J11" s="197"/>
      <c r="K11" s="197">
        <f>E11</f>
        <v>15499</v>
      </c>
      <c r="L11" s="197"/>
    </row>
    <row r="12" spans="1:12" ht="26.25" customHeight="1" x14ac:dyDescent="0.35">
      <c r="A12" s="191">
        <v>14</v>
      </c>
      <c r="B12" s="195" t="s">
        <v>187</v>
      </c>
      <c r="C12" s="200" t="s">
        <v>458</v>
      </c>
      <c r="D12" s="191" t="s">
        <v>190</v>
      </c>
      <c r="E12" s="197">
        <v>59.99</v>
      </c>
      <c r="F12" s="194"/>
      <c r="G12" s="194" t="s">
        <v>340</v>
      </c>
      <c r="H12" s="197"/>
      <c r="I12" s="197"/>
      <c r="J12" s="197">
        <f>E12</f>
        <v>59.99</v>
      </c>
      <c r="K12" s="197"/>
      <c r="L12" s="197"/>
    </row>
    <row r="13" spans="1:12" ht="26.25" customHeight="1" x14ac:dyDescent="0.35">
      <c r="A13" s="191">
        <v>15</v>
      </c>
      <c r="B13" s="195" t="s">
        <v>191</v>
      </c>
      <c r="C13" s="196" t="s">
        <v>192</v>
      </c>
      <c r="D13" s="191" t="s">
        <v>190</v>
      </c>
      <c r="E13" s="197">
        <v>52.99</v>
      </c>
      <c r="F13" s="194"/>
      <c r="G13" s="194" t="s">
        <v>340</v>
      </c>
      <c r="H13" s="197"/>
      <c r="I13" s="197"/>
      <c r="J13" s="197">
        <f>E13</f>
        <v>52.99</v>
      </c>
      <c r="K13" s="197"/>
      <c r="L13" s="197"/>
    </row>
    <row r="14" spans="1:12" ht="26.25" customHeight="1" x14ac:dyDescent="0.35">
      <c r="A14" s="191">
        <v>16</v>
      </c>
      <c r="B14" s="195" t="s">
        <v>191</v>
      </c>
      <c r="C14" s="196" t="s">
        <v>193</v>
      </c>
      <c r="D14" s="191" t="s">
        <v>194</v>
      </c>
      <c r="E14" s="197">
        <v>933.59</v>
      </c>
      <c r="F14" s="194"/>
      <c r="G14" s="194" t="s">
        <v>340</v>
      </c>
      <c r="H14" s="197"/>
      <c r="I14" s="197"/>
      <c r="J14" s="197"/>
      <c r="K14" s="197">
        <f>E14</f>
        <v>933.59</v>
      </c>
      <c r="L14" s="197"/>
    </row>
    <row r="15" spans="1:12" ht="26.25" customHeight="1" x14ac:dyDescent="0.35">
      <c r="A15" s="191">
        <v>17</v>
      </c>
      <c r="B15" s="195" t="s">
        <v>195</v>
      </c>
      <c r="C15" s="196" t="s">
        <v>196</v>
      </c>
      <c r="D15" s="191" t="s">
        <v>197</v>
      </c>
      <c r="E15" s="197">
        <v>3835</v>
      </c>
      <c r="F15" s="194"/>
      <c r="G15" s="194" t="s">
        <v>340</v>
      </c>
      <c r="H15" s="197"/>
      <c r="I15" s="197"/>
      <c r="J15" s="197">
        <f>E15</f>
        <v>3835</v>
      </c>
      <c r="K15" s="197"/>
      <c r="L15" s="197"/>
    </row>
    <row r="16" spans="1:12" ht="26.25" customHeight="1" x14ac:dyDescent="0.35">
      <c r="A16" s="191">
        <v>18</v>
      </c>
      <c r="B16" s="195" t="s">
        <v>195</v>
      </c>
      <c r="C16" s="196" t="s">
        <v>198</v>
      </c>
      <c r="D16" s="191" t="s">
        <v>199</v>
      </c>
      <c r="E16" s="197">
        <v>59.98</v>
      </c>
      <c r="F16" s="194"/>
      <c r="G16" s="194" t="s">
        <v>340</v>
      </c>
      <c r="H16" s="197"/>
      <c r="I16" s="197">
        <f>E16</f>
        <v>59.98</v>
      </c>
      <c r="J16" s="197"/>
      <c r="K16" s="197"/>
      <c r="L16" s="197"/>
    </row>
    <row r="17" spans="1:12" ht="26.25" customHeight="1" x14ac:dyDescent="0.35">
      <c r="A17" s="191">
        <v>19</v>
      </c>
      <c r="B17" s="195" t="s">
        <v>195</v>
      </c>
      <c r="C17" s="196" t="s">
        <v>200</v>
      </c>
      <c r="D17" s="191" t="s">
        <v>201</v>
      </c>
      <c r="E17" s="197">
        <v>113</v>
      </c>
      <c r="F17" s="194"/>
      <c r="G17" s="194" t="s">
        <v>340</v>
      </c>
      <c r="H17" s="197"/>
      <c r="I17" s="197"/>
      <c r="J17" s="197"/>
      <c r="K17" s="197">
        <f>E17</f>
        <v>113</v>
      </c>
      <c r="L17" s="197"/>
    </row>
    <row r="18" spans="1:12" ht="26.25" customHeight="1" x14ac:dyDescent="0.35">
      <c r="A18" s="191">
        <v>20</v>
      </c>
      <c r="B18" s="195" t="s">
        <v>195</v>
      </c>
      <c r="C18" s="196" t="s">
        <v>202</v>
      </c>
      <c r="D18" s="191" t="s">
        <v>203</v>
      </c>
      <c r="E18" s="197">
        <v>194.64</v>
      </c>
      <c r="F18" s="199"/>
      <c r="G18" s="194" t="s">
        <v>340</v>
      </c>
      <c r="H18" s="197"/>
      <c r="I18" s="197"/>
      <c r="J18" s="197"/>
      <c r="K18" s="197">
        <f>E18</f>
        <v>194.64</v>
      </c>
      <c r="L18" s="197"/>
    </row>
    <row r="19" spans="1:12" ht="26.25" customHeight="1" x14ac:dyDescent="0.35">
      <c r="A19" s="191">
        <v>21</v>
      </c>
      <c r="B19" s="195" t="s">
        <v>195</v>
      </c>
      <c r="C19" s="196" t="s">
        <v>204</v>
      </c>
      <c r="D19" s="191" t="s">
        <v>194</v>
      </c>
      <c r="E19" s="197">
        <v>150</v>
      </c>
      <c r="F19" s="194"/>
      <c r="G19" s="194" t="s">
        <v>340</v>
      </c>
      <c r="H19" s="197"/>
      <c r="I19" s="197"/>
      <c r="J19" s="197"/>
      <c r="K19" s="197">
        <f>E19</f>
        <v>150</v>
      </c>
      <c r="L19" s="197"/>
    </row>
    <row r="20" spans="1:12" ht="26.25" customHeight="1" x14ac:dyDescent="0.35">
      <c r="A20" s="191">
        <v>23</v>
      </c>
      <c r="B20" s="195" t="s">
        <v>205</v>
      </c>
      <c r="C20" s="196" t="s">
        <v>206</v>
      </c>
      <c r="D20" s="191" t="s">
        <v>207</v>
      </c>
      <c r="E20" s="197">
        <v>2150</v>
      </c>
      <c r="F20" s="194"/>
      <c r="G20" s="194" t="s">
        <v>340</v>
      </c>
      <c r="H20" s="197"/>
      <c r="I20" s="197"/>
      <c r="J20" s="197"/>
      <c r="K20" s="197"/>
      <c r="L20" s="197">
        <f>E20</f>
        <v>2150</v>
      </c>
    </row>
    <row r="21" spans="1:12" ht="26.25" customHeight="1" x14ac:dyDescent="0.35">
      <c r="A21" s="191">
        <v>24</v>
      </c>
      <c r="B21" s="195" t="s">
        <v>205</v>
      </c>
      <c r="C21" s="196" t="s">
        <v>208</v>
      </c>
      <c r="D21" s="191" t="s">
        <v>209</v>
      </c>
      <c r="E21" s="197">
        <v>21098</v>
      </c>
      <c r="F21" s="199"/>
      <c r="G21" s="194" t="s">
        <v>340</v>
      </c>
      <c r="H21" s="197"/>
      <c r="I21" s="197"/>
      <c r="J21" s="197"/>
      <c r="K21" s="197"/>
      <c r="L21" s="197">
        <f>E21</f>
        <v>21098</v>
      </c>
    </row>
    <row r="22" spans="1:12" ht="26.25" customHeight="1" x14ac:dyDescent="0.35">
      <c r="A22" s="191">
        <v>25</v>
      </c>
      <c r="B22" s="195" t="s">
        <v>210</v>
      </c>
      <c r="C22" s="196" t="s">
        <v>211</v>
      </c>
      <c r="D22" s="191" t="s">
        <v>212</v>
      </c>
      <c r="E22" s="197">
        <v>630</v>
      </c>
      <c r="F22" s="194"/>
      <c r="G22" s="194" t="s">
        <v>340</v>
      </c>
      <c r="H22" s="197"/>
      <c r="I22" s="197"/>
      <c r="J22" s="197"/>
      <c r="K22" s="197">
        <f>E22</f>
        <v>630</v>
      </c>
      <c r="L22" s="197"/>
    </row>
    <row r="23" spans="1:12" ht="26.25" customHeight="1" x14ac:dyDescent="0.35">
      <c r="A23" s="191">
        <v>26</v>
      </c>
      <c r="B23" s="195" t="s">
        <v>210</v>
      </c>
      <c r="C23" s="196" t="s">
        <v>213</v>
      </c>
      <c r="D23" s="191" t="s">
        <v>214</v>
      </c>
      <c r="E23" s="197">
        <v>450</v>
      </c>
      <c r="F23" s="199"/>
      <c r="G23" s="194" t="s">
        <v>340</v>
      </c>
      <c r="H23" s="197"/>
      <c r="I23" s="197"/>
      <c r="J23" s="197">
        <f>E23</f>
        <v>450</v>
      </c>
      <c r="K23" s="197"/>
      <c r="L23" s="197"/>
    </row>
    <row r="24" spans="1:12" ht="26.25" customHeight="1" x14ac:dyDescent="0.35">
      <c r="A24" s="191">
        <v>27</v>
      </c>
      <c r="B24" s="195" t="s">
        <v>210</v>
      </c>
      <c r="C24" s="196" t="s">
        <v>215</v>
      </c>
      <c r="D24" s="191" t="s">
        <v>216</v>
      </c>
      <c r="E24" s="197">
        <v>290.60000000000002</v>
      </c>
      <c r="F24" s="194"/>
      <c r="G24" s="194" t="s">
        <v>340</v>
      </c>
      <c r="H24" s="197"/>
      <c r="I24" s="197"/>
      <c r="J24" s="197"/>
      <c r="K24" s="197"/>
      <c r="L24" s="197">
        <f>E24</f>
        <v>290.60000000000002</v>
      </c>
    </row>
    <row r="25" spans="1:12" ht="26.25" customHeight="1" x14ac:dyDescent="0.35">
      <c r="A25" s="191">
        <v>28</v>
      </c>
      <c r="B25" s="195" t="s">
        <v>210</v>
      </c>
      <c r="C25" s="196" t="s">
        <v>217</v>
      </c>
      <c r="D25" s="191" t="s">
        <v>216</v>
      </c>
      <c r="E25" s="197">
        <v>611</v>
      </c>
      <c r="F25" s="194"/>
      <c r="G25" s="194" t="s">
        <v>340</v>
      </c>
      <c r="H25" s="197"/>
      <c r="I25" s="197"/>
      <c r="J25" s="197"/>
      <c r="K25" s="197"/>
      <c r="L25" s="197">
        <f>E25</f>
        <v>611</v>
      </c>
    </row>
    <row r="26" spans="1:12" ht="26.25" customHeight="1" x14ac:dyDescent="0.35">
      <c r="A26" s="191">
        <v>29</v>
      </c>
      <c r="B26" s="195" t="s">
        <v>210</v>
      </c>
      <c r="C26" s="201" t="s">
        <v>218</v>
      </c>
      <c r="D26" s="191" t="s">
        <v>190</v>
      </c>
      <c r="E26" s="197">
        <v>365.36</v>
      </c>
      <c r="F26" s="194"/>
      <c r="G26" s="194" t="s">
        <v>340</v>
      </c>
      <c r="H26" s="197"/>
      <c r="I26" s="197"/>
      <c r="J26" s="197">
        <f>E26</f>
        <v>365.36</v>
      </c>
      <c r="K26" s="197"/>
      <c r="L26" s="197"/>
    </row>
    <row r="27" spans="1:12" ht="26.25" customHeight="1" x14ac:dyDescent="0.35">
      <c r="A27" s="191">
        <v>30</v>
      </c>
      <c r="B27" s="195" t="s">
        <v>210</v>
      </c>
      <c r="C27" s="201" t="s">
        <v>219</v>
      </c>
      <c r="D27" s="191" t="s">
        <v>220</v>
      </c>
      <c r="E27" s="197">
        <v>523.76</v>
      </c>
      <c r="F27" s="194"/>
      <c r="G27" s="194" t="s">
        <v>340</v>
      </c>
      <c r="H27" s="197"/>
      <c r="I27" s="197">
        <f>E27</f>
        <v>523.76</v>
      </c>
      <c r="J27" s="197"/>
      <c r="K27" s="197"/>
      <c r="L27" s="197"/>
    </row>
    <row r="28" spans="1:12" ht="26.25" customHeight="1" x14ac:dyDescent="0.35">
      <c r="A28" s="191">
        <v>31</v>
      </c>
      <c r="B28" s="195" t="s">
        <v>221</v>
      </c>
      <c r="C28" s="201" t="s">
        <v>222</v>
      </c>
      <c r="D28" s="191" t="s">
        <v>177</v>
      </c>
      <c r="E28" s="197">
        <v>9</v>
      </c>
      <c r="F28" s="194"/>
      <c r="G28" s="194" t="s">
        <v>340</v>
      </c>
      <c r="H28" s="197"/>
      <c r="I28" s="197"/>
      <c r="J28" s="197">
        <f>E28</f>
        <v>9</v>
      </c>
      <c r="K28" s="197"/>
      <c r="L28" s="197"/>
    </row>
    <row r="29" spans="1:12" ht="26.25" customHeight="1" x14ac:dyDescent="0.35">
      <c r="A29" s="191">
        <v>32</v>
      </c>
      <c r="B29" s="195" t="s">
        <v>221</v>
      </c>
      <c r="C29" s="201" t="s">
        <v>223</v>
      </c>
      <c r="D29" s="191" t="s">
        <v>207</v>
      </c>
      <c r="E29" s="197">
        <v>1000</v>
      </c>
      <c r="F29" s="199"/>
      <c r="G29" s="194" t="s">
        <v>340</v>
      </c>
      <c r="H29" s="197"/>
      <c r="I29" s="197"/>
      <c r="J29" s="197"/>
      <c r="K29" s="197"/>
      <c r="L29" s="197">
        <f>E29</f>
        <v>1000</v>
      </c>
    </row>
    <row r="30" spans="1:12" ht="26.25" customHeight="1" x14ac:dyDescent="0.35">
      <c r="A30" s="191">
        <v>33</v>
      </c>
      <c r="B30" s="195" t="s">
        <v>221</v>
      </c>
      <c r="C30" s="201" t="s">
        <v>224</v>
      </c>
      <c r="D30" s="191" t="s">
        <v>214</v>
      </c>
      <c r="E30" s="197">
        <v>219</v>
      </c>
      <c r="F30" s="199"/>
      <c r="G30" s="194" t="s">
        <v>340</v>
      </c>
      <c r="H30" s="197"/>
      <c r="I30" s="197"/>
      <c r="J30" s="197">
        <f>E30</f>
        <v>219</v>
      </c>
      <c r="K30" s="197"/>
      <c r="L30" s="197"/>
    </row>
    <row r="31" spans="1:12" ht="26.25" customHeight="1" x14ac:dyDescent="0.35">
      <c r="A31" s="191">
        <v>34</v>
      </c>
      <c r="B31" s="195" t="s">
        <v>221</v>
      </c>
      <c r="C31" s="201" t="s">
        <v>225</v>
      </c>
      <c r="D31" s="191" t="s">
        <v>226</v>
      </c>
      <c r="E31" s="197">
        <v>98.91</v>
      </c>
      <c r="F31" s="194"/>
      <c r="G31" s="197" t="s">
        <v>178</v>
      </c>
      <c r="H31" s="197"/>
      <c r="I31" s="197"/>
      <c r="J31" s="197"/>
      <c r="K31" s="197"/>
      <c r="L31" s="197">
        <f>E31</f>
        <v>98.91</v>
      </c>
    </row>
    <row r="32" spans="1:12" ht="26.25" customHeight="1" x14ac:dyDescent="0.35">
      <c r="A32" s="191">
        <v>35</v>
      </c>
      <c r="B32" s="195" t="s">
        <v>221</v>
      </c>
      <c r="C32" s="201" t="s">
        <v>227</v>
      </c>
      <c r="D32" s="191" t="s">
        <v>190</v>
      </c>
      <c r="E32" s="197">
        <v>197.82</v>
      </c>
      <c r="F32" s="194"/>
      <c r="G32" s="197" t="s">
        <v>178</v>
      </c>
      <c r="H32" s="197"/>
      <c r="I32" s="197"/>
      <c r="J32" s="197">
        <f>E32</f>
        <v>197.82</v>
      </c>
      <c r="K32" s="197"/>
      <c r="L32" s="197"/>
    </row>
    <row r="33" spans="1:12" ht="26.25" customHeight="1" x14ac:dyDescent="0.35">
      <c r="A33" s="191">
        <v>36</v>
      </c>
      <c r="B33" s="195" t="s">
        <v>228</v>
      </c>
      <c r="C33" s="201" t="s">
        <v>229</v>
      </c>
      <c r="D33" s="191" t="s">
        <v>230</v>
      </c>
      <c r="E33" s="197">
        <v>70</v>
      </c>
      <c r="F33" s="194"/>
      <c r="G33" s="197" t="s">
        <v>178</v>
      </c>
      <c r="H33" s="197"/>
      <c r="I33" s="197"/>
      <c r="J33" s="197">
        <f>E33</f>
        <v>70</v>
      </c>
      <c r="K33" s="197"/>
      <c r="L33" s="197"/>
    </row>
    <row r="34" spans="1:12" ht="26.25" customHeight="1" x14ac:dyDescent="0.35">
      <c r="A34" s="191">
        <v>37</v>
      </c>
      <c r="B34" s="195" t="s">
        <v>228</v>
      </c>
      <c r="C34" s="201" t="s">
        <v>229</v>
      </c>
      <c r="D34" s="191" t="s">
        <v>230</v>
      </c>
      <c r="E34" s="197">
        <v>200</v>
      </c>
      <c r="F34" s="194"/>
      <c r="G34" s="197" t="s">
        <v>178</v>
      </c>
      <c r="H34" s="197"/>
      <c r="I34" s="197"/>
      <c r="J34" s="197">
        <f>E34</f>
        <v>200</v>
      </c>
      <c r="K34" s="197"/>
      <c r="L34" s="197"/>
    </row>
    <row r="35" spans="1:12" ht="26.25" customHeight="1" x14ac:dyDescent="0.35">
      <c r="A35" s="191">
        <v>38</v>
      </c>
      <c r="B35" s="195" t="s">
        <v>228</v>
      </c>
      <c r="C35" s="201" t="s">
        <v>222</v>
      </c>
      <c r="D35" s="191" t="s">
        <v>177</v>
      </c>
      <c r="E35" s="197">
        <v>55</v>
      </c>
      <c r="F35" s="194"/>
      <c r="G35" s="197" t="s">
        <v>178</v>
      </c>
      <c r="H35" s="197"/>
      <c r="I35" s="197"/>
      <c r="J35" s="197">
        <f>E35</f>
        <v>55</v>
      </c>
      <c r="K35" s="197"/>
      <c r="L35" s="197"/>
    </row>
    <row r="36" spans="1:12" ht="26.25" customHeight="1" x14ac:dyDescent="0.35">
      <c r="A36" s="191">
        <v>40</v>
      </c>
      <c r="B36" s="195" t="s">
        <v>228</v>
      </c>
      <c r="C36" s="201" t="s">
        <v>231</v>
      </c>
      <c r="D36" s="191" t="s">
        <v>207</v>
      </c>
      <c r="E36" s="197">
        <v>1200</v>
      </c>
      <c r="F36" s="199"/>
      <c r="G36" s="197" t="s">
        <v>178</v>
      </c>
      <c r="H36" s="197"/>
      <c r="I36" s="197"/>
      <c r="J36" s="197"/>
      <c r="K36" s="197"/>
      <c r="L36" s="197">
        <f>E36</f>
        <v>1200</v>
      </c>
    </row>
    <row r="37" spans="1:12" ht="26.25" customHeight="1" x14ac:dyDescent="0.35">
      <c r="A37" s="191">
        <v>41</v>
      </c>
      <c r="B37" s="195" t="s">
        <v>228</v>
      </c>
      <c r="C37" s="201" t="s">
        <v>232</v>
      </c>
      <c r="D37" s="191" t="s">
        <v>185</v>
      </c>
      <c r="E37" s="197">
        <v>93.7</v>
      </c>
      <c r="F37" s="194"/>
      <c r="G37" s="197" t="s">
        <v>178</v>
      </c>
      <c r="H37" s="197"/>
      <c r="I37" s="197"/>
      <c r="J37" s="197"/>
      <c r="K37" s="197">
        <f>E37</f>
        <v>93.7</v>
      </c>
      <c r="L37" s="197"/>
    </row>
    <row r="38" spans="1:12" ht="26.25" customHeight="1" x14ac:dyDescent="0.35">
      <c r="A38" s="191">
        <v>43</v>
      </c>
      <c r="B38" s="195" t="s">
        <v>228</v>
      </c>
      <c r="C38" s="201" t="s">
        <v>233</v>
      </c>
      <c r="D38" s="191" t="s">
        <v>185</v>
      </c>
      <c r="E38" s="197">
        <v>200</v>
      </c>
      <c r="F38" s="194"/>
      <c r="G38" s="197" t="s">
        <v>178</v>
      </c>
      <c r="H38" s="197"/>
      <c r="I38" s="197"/>
      <c r="J38" s="197"/>
      <c r="K38" s="197">
        <f>E38</f>
        <v>200</v>
      </c>
      <c r="L38" s="197"/>
    </row>
    <row r="39" spans="1:12" ht="26.25" customHeight="1" x14ac:dyDescent="0.35">
      <c r="A39" s="191">
        <v>44</v>
      </c>
      <c r="B39" s="195" t="s">
        <v>234</v>
      </c>
      <c r="C39" s="201" t="s">
        <v>235</v>
      </c>
      <c r="D39" s="191" t="s">
        <v>190</v>
      </c>
      <c r="E39" s="197">
        <v>59.99</v>
      </c>
      <c r="F39" s="194"/>
      <c r="G39" s="197" t="s">
        <v>178</v>
      </c>
      <c r="H39" s="197"/>
      <c r="I39" s="197"/>
      <c r="J39" s="197">
        <f>E39</f>
        <v>59.99</v>
      </c>
      <c r="K39" s="197"/>
      <c r="L39" s="197"/>
    </row>
    <row r="40" spans="1:12" ht="26.25" customHeight="1" x14ac:dyDescent="0.35">
      <c r="A40" s="191">
        <v>45</v>
      </c>
      <c r="B40" s="195" t="s">
        <v>236</v>
      </c>
      <c r="C40" s="201" t="s">
        <v>204</v>
      </c>
      <c r="D40" s="191" t="s">
        <v>194</v>
      </c>
      <c r="E40" s="197">
        <v>150</v>
      </c>
      <c r="F40" s="194"/>
      <c r="G40" s="197" t="s">
        <v>178</v>
      </c>
      <c r="H40" s="197"/>
      <c r="I40" s="197"/>
      <c r="J40" s="197"/>
      <c r="K40" s="197">
        <f>E40</f>
        <v>150</v>
      </c>
      <c r="L40" s="197"/>
    </row>
    <row r="41" spans="1:12" ht="26.25" customHeight="1" x14ac:dyDescent="0.35">
      <c r="A41" s="191">
        <v>46</v>
      </c>
      <c r="B41" s="195" t="s">
        <v>237</v>
      </c>
      <c r="C41" s="202" t="s">
        <v>238</v>
      </c>
      <c r="D41" s="191" t="s">
        <v>239</v>
      </c>
      <c r="E41" s="197">
        <v>55</v>
      </c>
      <c r="F41" s="194"/>
      <c r="G41" s="197" t="s">
        <v>178</v>
      </c>
      <c r="H41" s="197"/>
      <c r="I41" s="197"/>
      <c r="J41" s="197">
        <f>E41</f>
        <v>55</v>
      </c>
      <c r="K41" s="197"/>
      <c r="L41" s="197"/>
    </row>
    <row r="42" spans="1:12" ht="26.25" customHeight="1" x14ac:dyDescent="0.35">
      <c r="A42" s="191">
        <v>47</v>
      </c>
      <c r="B42" s="195" t="s">
        <v>237</v>
      </c>
      <c r="C42" s="202" t="s">
        <v>240</v>
      </c>
      <c r="D42" s="191" t="s">
        <v>207</v>
      </c>
      <c r="E42" s="197">
        <v>750</v>
      </c>
      <c r="F42" s="194"/>
      <c r="G42" s="194" t="s">
        <v>340</v>
      </c>
      <c r="H42" s="197"/>
      <c r="I42" s="197"/>
      <c r="J42" s="197"/>
      <c r="K42" s="197"/>
      <c r="L42" s="197">
        <f>E42</f>
        <v>750</v>
      </c>
    </row>
    <row r="43" spans="1:12" ht="26.25" customHeight="1" x14ac:dyDescent="0.35">
      <c r="A43" s="191">
        <v>48</v>
      </c>
      <c r="B43" s="195" t="s">
        <v>237</v>
      </c>
      <c r="C43" s="202" t="s">
        <v>222</v>
      </c>
      <c r="D43" s="191" t="s">
        <v>177</v>
      </c>
      <c r="E43" s="197">
        <v>9</v>
      </c>
      <c r="F43" s="194"/>
      <c r="G43" s="194" t="s">
        <v>340</v>
      </c>
      <c r="H43" s="197"/>
      <c r="I43" s="197"/>
      <c r="J43" s="197">
        <f>E43</f>
        <v>9</v>
      </c>
      <c r="K43" s="197"/>
      <c r="L43" s="197"/>
    </row>
    <row r="44" spans="1:12" ht="26.25" customHeight="1" x14ac:dyDescent="0.35">
      <c r="A44" s="191">
        <v>49</v>
      </c>
      <c r="B44" s="195" t="s">
        <v>237</v>
      </c>
      <c r="C44" s="201" t="s">
        <v>229</v>
      </c>
      <c r="D44" s="191" t="s">
        <v>241</v>
      </c>
      <c r="E44" s="197">
        <v>500</v>
      </c>
      <c r="F44" s="194"/>
      <c r="G44" s="194" t="s">
        <v>340</v>
      </c>
      <c r="H44" s="197"/>
      <c r="I44" s="197"/>
      <c r="J44" s="197">
        <f>E44</f>
        <v>500</v>
      </c>
      <c r="K44" s="197"/>
      <c r="L44" s="197"/>
    </row>
    <row r="45" spans="1:12" ht="26.25" customHeight="1" x14ac:dyDescent="0.35">
      <c r="A45" s="191">
        <v>50</v>
      </c>
      <c r="B45" s="195" t="s">
        <v>237</v>
      </c>
      <c r="C45" s="201" t="s">
        <v>242</v>
      </c>
      <c r="D45" s="191" t="s">
        <v>185</v>
      </c>
      <c r="E45" s="197">
        <v>26</v>
      </c>
      <c r="F45" s="194"/>
      <c r="G45" s="194" t="s">
        <v>340</v>
      </c>
      <c r="H45" s="197"/>
      <c r="I45" s="197"/>
      <c r="J45" s="197"/>
      <c r="K45" s="197">
        <f>E45</f>
        <v>26</v>
      </c>
      <c r="L45" s="197"/>
    </row>
    <row r="46" spans="1:12" ht="26.25" customHeight="1" x14ac:dyDescent="0.35">
      <c r="A46" s="191">
        <v>54</v>
      </c>
      <c r="B46" s="195" t="s">
        <v>243</v>
      </c>
      <c r="C46" s="202" t="s">
        <v>244</v>
      </c>
      <c r="D46" s="191" t="s">
        <v>185</v>
      </c>
      <c r="E46" s="197">
        <v>51.9</v>
      </c>
      <c r="F46" s="194"/>
      <c r="G46" s="194" t="s">
        <v>340</v>
      </c>
      <c r="H46" s="197"/>
      <c r="I46" s="197"/>
      <c r="J46" s="197"/>
      <c r="K46" s="197">
        <f>E46</f>
        <v>51.9</v>
      </c>
      <c r="L46" s="197"/>
    </row>
    <row r="47" spans="1:12" ht="26.25" customHeight="1" x14ac:dyDescent="0.35">
      <c r="A47" s="191">
        <v>55</v>
      </c>
      <c r="B47" s="195" t="s">
        <v>243</v>
      </c>
      <c r="C47" s="201" t="s">
        <v>245</v>
      </c>
      <c r="D47" s="191" t="s">
        <v>185</v>
      </c>
      <c r="E47" s="197">
        <v>72.900000000000006</v>
      </c>
      <c r="F47" s="194"/>
      <c r="G47" s="197" t="s">
        <v>178</v>
      </c>
      <c r="H47" s="197"/>
      <c r="I47" s="197"/>
      <c r="J47" s="197"/>
      <c r="K47" s="197">
        <f>E47</f>
        <v>72.900000000000006</v>
      </c>
      <c r="L47" s="197"/>
    </row>
    <row r="48" spans="1:12" ht="26.25" customHeight="1" x14ac:dyDescent="0.35">
      <c r="A48" s="191">
        <v>56</v>
      </c>
      <c r="B48" s="195" t="s">
        <v>246</v>
      </c>
      <c r="C48" s="201" t="s">
        <v>222</v>
      </c>
      <c r="D48" s="191" t="s">
        <v>177</v>
      </c>
      <c r="E48" s="197">
        <v>55</v>
      </c>
      <c r="F48" s="194"/>
      <c r="G48" s="197" t="s">
        <v>178</v>
      </c>
      <c r="H48" s="197"/>
      <c r="I48" s="197"/>
      <c r="J48" s="197">
        <f>E48</f>
        <v>55</v>
      </c>
      <c r="K48" s="197"/>
      <c r="L48" s="197"/>
    </row>
    <row r="49" spans="1:12" ht="26.25" customHeight="1" x14ac:dyDescent="0.35">
      <c r="A49" s="191">
        <v>57</v>
      </c>
      <c r="B49" s="195" t="s">
        <v>246</v>
      </c>
      <c r="C49" s="201" t="s">
        <v>247</v>
      </c>
      <c r="D49" s="191" t="s">
        <v>248</v>
      </c>
      <c r="E49" s="197">
        <v>130</v>
      </c>
      <c r="F49" s="194"/>
      <c r="G49" s="197" t="s">
        <v>178</v>
      </c>
      <c r="H49" s="197"/>
      <c r="I49" s="197">
        <f>E49</f>
        <v>130</v>
      </c>
      <c r="J49" s="197"/>
      <c r="K49" s="197"/>
      <c r="L49" s="197"/>
    </row>
    <row r="50" spans="1:12" ht="26.25" customHeight="1" x14ac:dyDescent="0.35">
      <c r="A50" s="191">
        <v>58</v>
      </c>
      <c r="B50" s="195" t="s">
        <v>246</v>
      </c>
      <c r="C50" s="201" t="s">
        <v>249</v>
      </c>
      <c r="D50" s="191" t="s">
        <v>185</v>
      </c>
      <c r="E50" s="197">
        <v>24</v>
      </c>
      <c r="F50" s="194"/>
      <c r="G50" s="197" t="s">
        <v>178</v>
      </c>
      <c r="H50" s="197"/>
      <c r="I50" s="197"/>
      <c r="J50" s="197"/>
      <c r="K50" s="197"/>
      <c r="L50" s="197">
        <f>E50</f>
        <v>24</v>
      </c>
    </row>
    <row r="51" spans="1:12" ht="26.25" customHeight="1" x14ac:dyDescent="0.35">
      <c r="A51" s="191">
        <v>59</v>
      </c>
      <c r="B51" s="195" t="s">
        <v>246</v>
      </c>
      <c r="C51" s="201" t="s">
        <v>250</v>
      </c>
      <c r="D51" s="191" t="s">
        <v>185</v>
      </c>
      <c r="E51" s="197">
        <v>51.9</v>
      </c>
      <c r="F51" s="194"/>
      <c r="G51" s="197" t="s">
        <v>178</v>
      </c>
      <c r="H51" s="197"/>
      <c r="I51" s="197"/>
      <c r="J51" s="197"/>
      <c r="K51" s="197"/>
      <c r="L51" s="197">
        <f>E51</f>
        <v>51.9</v>
      </c>
    </row>
    <row r="52" spans="1:12" ht="26.25" customHeight="1" x14ac:dyDescent="0.35">
      <c r="A52" s="191">
        <v>60</v>
      </c>
      <c r="B52" s="195" t="s">
        <v>246</v>
      </c>
      <c r="C52" s="201" t="s">
        <v>251</v>
      </c>
      <c r="D52" s="191" t="s">
        <v>185</v>
      </c>
      <c r="E52" s="197">
        <v>104.8</v>
      </c>
      <c r="F52" s="194"/>
      <c r="G52" s="197" t="s">
        <v>178</v>
      </c>
      <c r="H52" s="197"/>
      <c r="I52" s="197"/>
      <c r="J52" s="197"/>
      <c r="K52" s="197"/>
      <c r="L52" s="197">
        <f>E52</f>
        <v>104.8</v>
      </c>
    </row>
    <row r="53" spans="1:12" ht="26.25" customHeight="1" x14ac:dyDescent="0.35">
      <c r="A53" s="191">
        <v>61</v>
      </c>
      <c r="B53" s="195" t="s">
        <v>246</v>
      </c>
      <c r="C53" s="201" t="s">
        <v>252</v>
      </c>
      <c r="D53" s="191" t="s">
        <v>253</v>
      </c>
      <c r="E53" s="197">
        <v>499</v>
      </c>
      <c r="F53" s="194"/>
      <c r="G53" s="197" t="s">
        <v>178</v>
      </c>
      <c r="H53" s="197"/>
      <c r="I53" s="197"/>
      <c r="J53" s="197">
        <f>E53</f>
        <v>499</v>
      </c>
      <c r="K53" s="197"/>
      <c r="L53" s="197"/>
    </row>
    <row r="54" spans="1:12" ht="26.25" customHeight="1" x14ac:dyDescent="0.35">
      <c r="A54" s="191">
        <v>62</v>
      </c>
      <c r="B54" s="195" t="s">
        <v>246</v>
      </c>
      <c r="C54" s="201" t="s">
        <v>254</v>
      </c>
      <c r="D54" s="191" t="s">
        <v>194</v>
      </c>
      <c r="E54" s="197">
        <v>700</v>
      </c>
      <c r="F54" s="194"/>
      <c r="G54" s="197" t="s">
        <v>178</v>
      </c>
      <c r="H54" s="197"/>
      <c r="I54" s="197"/>
      <c r="J54" s="197"/>
      <c r="K54" s="197">
        <f>E54</f>
        <v>700</v>
      </c>
      <c r="L54" s="197"/>
    </row>
    <row r="55" spans="1:12" ht="26.25" customHeight="1" x14ac:dyDescent="0.35">
      <c r="A55" s="191">
        <v>63</v>
      </c>
      <c r="B55" s="195" t="s">
        <v>246</v>
      </c>
      <c r="C55" s="201" t="s">
        <v>255</v>
      </c>
      <c r="D55" s="191" t="s">
        <v>194</v>
      </c>
      <c r="E55" s="197">
        <v>1020.95</v>
      </c>
      <c r="F55" s="194"/>
      <c r="G55" s="197" t="s">
        <v>178</v>
      </c>
      <c r="H55" s="197"/>
      <c r="I55" s="197"/>
      <c r="J55" s="197"/>
      <c r="K55" s="197">
        <f>E55</f>
        <v>1020.95</v>
      </c>
      <c r="L55" s="197"/>
    </row>
    <row r="56" spans="1:12" ht="26.25" customHeight="1" x14ac:dyDescent="0.35">
      <c r="A56" s="191">
        <v>64</v>
      </c>
      <c r="B56" s="195" t="s">
        <v>246</v>
      </c>
      <c r="C56" s="201" t="s">
        <v>222</v>
      </c>
      <c r="D56" s="191" t="s">
        <v>177</v>
      </c>
      <c r="E56" s="197">
        <v>55</v>
      </c>
      <c r="F56" s="194"/>
      <c r="G56" s="197" t="s">
        <v>178</v>
      </c>
      <c r="H56" s="197"/>
      <c r="I56" s="197"/>
      <c r="J56" s="197">
        <f>E56</f>
        <v>55</v>
      </c>
      <c r="K56" s="197"/>
      <c r="L56" s="197"/>
    </row>
    <row r="57" spans="1:12" ht="26.25" customHeight="1" x14ac:dyDescent="0.35">
      <c r="A57" s="191">
        <v>66</v>
      </c>
      <c r="B57" s="195" t="s">
        <v>256</v>
      </c>
      <c r="C57" s="201" t="s">
        <v>222</v>
      </c>
      <c r="D57" s="191" t="s">
        <v>177</v>
      </c>
      <c r="E57" s="197">
        <v>55</v>
      </c>
      <c r="F57" s="194"/>
      <c r="G57" s="197" t="s">
        <v>178</v>
      </c>
      <c r="H57" s="197"/>
      <c r="I57" s="197"/>
      <c r="J57" s="197">
        <f>E57</f>
        <v>55</v>
      </c>
      <c r="K57" s="197"/>
      <c r="L57" s="197"/>
    </row>
    <row r="58" spans="1:12" ht="26.25" customHeight="1" x14ac:dyDescent="0.35">
      <c r="A58" s="191">
        <v>67</v>
      </c>
      <c r="B58" s="195" t="s">
        <v>256</v>
      </c>
      <c r="C58" s="202" t="s">
        <v>232</v>
      </c>
      <c r="D58" s="191" t="s">
        <v>185</v>
      </c>
      <c r="E58" s="197">
        <v>24.9</v>
      </c>
      <c r="F58" s="194"/>
      <c r="G58" s="197" t="s">
        <v>178</v>
      </c>
      <c r="H58" s="197"/>
      <c r="I58" s="197"/>
      <c r="J58" s="197">
        <f>E58</f>
        <v>24.9</v>
      </c>
      <c r="K58" s="197"/>
      <c r="L58" s="197"/>
    </row>
    <row r="59" spans="1:12" ht="26.25" customHeight="1" x14ac:dyDescent="0.35">
      <c r="A59" s="191">
        <v>68</v>
      </c>
      <c r="B59" s="195" t="s">
        <v>256</v>
      </c>
      <c r="C59" s="202" t="s">
        <v>257</v>
      </c>
      <c r="D59" s="191" t="s">
        <v>185</v>
      </c>
      <c r="E59" s="197">
        <v>54</v>
      </c>
      <c r="F59" s="194"/>
      <c r="G59" s="197" t="s">
        <v>178</v>
      </c>
      <c r="H59" s="197"/>
      <c r="I59" s="197"/>
      <c r="J59" s="197">
        <f>E59</f>
        <v>54</v>
      </c>
      <c r="K59" s="197"/>
      <c r="L59" s="197"/>
    </row>
    <row r="60" spans="1:12" ht="26.25" customHeight="1" x14ac:dyDescent="0.35">
      <c r="A60" s="191">
        <v>71</v>
      </c>
      <c r="B60" s="195" t="s">
        <v>256</v>
      </c>
      <c r="C60" s="201" t="s">
        <v>258</v>
      </c>
      <c r="D60" s="191" t="s">
        <v>253</v>
      </c>
      <c r="E60" s="197">
        <v>1999</v>
      </c>
      <c r="F60" s="194"/>
      <c r="G60" s="197" t="s">
        <v>178</v>
      </c>
      <c r="H60" s="197"/>
      <c r="I60" s="197"/>
      <c r="J60" s="197">
        <f>E60</f>
        <v>1999</v>
      </c>
      <c r="K60" s="197"/>
      <c r="L60" s="197"/>
    </row>
    <row r="61" spans="1:12" ht="26.25" customHeight="1" x14ac:dyDescent="0.35">
      <c r="A61" s="191">
        <v>73</v>
      </c>
      <c r="B61" s="195" t="s">
        <v>256</v>
      </c>
      <c r="C61" s="201" t="s">
        <v>193</v>
      </c>
      <c r="D61" s="191" t="s">
        <v>194</v>
      </c>
      <c r="E61" s="197">
        <v>150</v>
      </c>
      <c r="F61" s="194"/>
      <c r="G61" s="197" t="s">
        <v>178</v>
      </c>
      <c r="H61" s="197"/>
      <c r="I61" s="197"/>
      <c r="J61" s="197"/>
      <c r="K61" s="197">
        <f>E61</f>
        <v>150</v>
      </c>
      <c r="L61" s="197"/>
    </row>
    <row r="62" spans="1:12" ht="26.25" customHeight="1" x14ac:dyDescent="0.35">
      <c r="A62" s="191">
        <v>74</v>
      </c>
      <c r="B62" s="195" t="s">
        <v>259</v>
      </c>
      <c r="C62" s="202" t="s">
        <v>257</v>
      </c>
      <c r="D62" s="191" t="s">
        <v>185</v>
      </c>
      <c r="E62" s="197">
        <v>22</v>
      </c>
      <c r="F62" s="194"/>
      <c r="G62" s="197" t="s">
        <v>178</v>
      </c>
      <c r="H62" s="197"/>
      <c r="I62" s="197"/>
      <c r="J62" s="197"/>
      <c r="K62" s="197">
        <f>E62</f>
        <v>22</v>
      </c>
      <c r="L62" s="197"/>
    </row>
    <row r="63" spans="1:12" ht="26.25" customHeight="1" x14ac:dyDescent="0.35">
      <c r="A63" s="191">
        <v>75</v>
      </c>
      <c r="B63" s="195" t="s">
        <v>259</v>
      </c>
      <c r="C63" s="202" t="s">
        <v>222</v>
      </c>
      <c r="D63" s="191" t="s">
        <v>177</v>
      </c>
      <c r="E63" s="197">
        <v>55</v>
      </c>
      <c r="F63" s="194"/>
      <c r="G63" s="197" t="s">
        <v>178</v>
      </c>
      <c r="H63" s="197"/>
      <c r="I63" s="197"/>
      <c r="J63" s="197">
        <f>E63</f>
        <v>55</v>
      </c>
      <c r="K63" s="197"/>
      <c r="L63" s="197"/>
    </row>
    <row r="64" spans="1:12" ht="13.5" customHeight="1" x14ac:dyDescent="0.35">
      <c r="A64" s="191">
        <v>76</v>
      </c>
      <c r="B64" s="195" t="s">
        <v>259</v>
      </c>
      <c r="C64" s="191" t="s">
        <v>258</v>
      </c>
      <c r="D64" s="191" t="s">
        <v>260</v>
      </c>
      <c r="E64" s="197">
        <v>2999</v>
      </c>
      <c r="F64" s="199"/>
      <c r="G64" s="197"/>
      <c r="H64" s="197"/>
      <c r="I64" s="197"/>
      <c r="J64" s="197"/>
      <c r="K64" s="197">
        <f>E64</f>
        <v>2999</v>
      </c>
      <c r="L64" s="197"/>
    </row>
    <row r="65" spans="1:12" ht="13.5" customHeight="1" x14ac:dyDescent="0.35">
      <c r="A65" s="191">
        <v>78</v>
      </c>
      <c r="B65" s="195" t="s">
        <v>261</v>
      </c>
      <c r="C65" s="201" t="s">
        <v>222</v>
      </c>
      <c r="D65" s="191" t="s">
        <v>177</v>
      </c>
      <c r="E65" s="197">
        <v>55</v>
      </c>
      <c r="F65" s="257"/>
      <c r="G65" s="197" t="s">
        <v>178</v>
      </c>
      <c r="H65" s="197"/>
      <c r="I65" s="197"/>
      <c r="J65" s="197">
        <f>E65</f>
        <v>55</v>
      </c>
      <c r="K65" s="197"/>
      <c r="L65" s="197"/>
    </row>
    <row r="66" spans="1:12" ht="13.5" customHeight="1" x14ac:dyDescent="0.35">
      <c r="A66" s="191">
        <v>79</v>
      </c>
      <c r="B66" s="195" t="s">
        <v>262</v>
      </c>
      <c r="C66" s="201" t="s">
        <v>263</v>
      </c>
      <c r="D66" s="191" t="s">
        <v>185</v>
      </c>
      <c r="E66" s="197">
        <v>99.8</v>
      </c>
      <c r="F66" s="257"/>
      <c r="G66" s="197" t="s">
        <v>178</v>
      </c>
      <c r="H66" s="197"/>
      <c r="I66" s="197"/>
      <c r="J66" s="197"/>
      <c r="K66" s="197">
        <f>E66</f>
        <v>99.8</v>
      </c>
      <c r="L66" s="197"/>
    </row>
    <row r="67" spans="1:12" ht="13.5" customHeight="1" x14ac:dyDescent="0.35">
      <c r="A67" s="191">
        <v>80</v>
      </c>
      <c r="B67" s="195" t="s">
        <v>262</v>
      </c>
      <c r="C67" s="201" t="s">
        <v>264</v>
      </c>
      <c r="D67" s="191" t="s">
        <v>194</v>
      </c>
      <c r="E67" s="197">
        <v>169</v>
      </c>
      <c r="F67" s="257"/>
      <c r="G67" s="197" t="s">
        <v>178</v>
      </c>
      <c r="H67" s="197"/>
      <c r="I67" s="197"/>
      <c r="J67" s="197"/>
      <c r="K67" s="197">
        <f>E67</f>
        <v>169</v>
      </c>
      <c r="L67" s="197"/>
    </row>
    <row r="68" spans="1:12" ht="13.5" customHeight="1" x14ac:dyDescent="0.35">
      <c r="A68" s="191">
        <v>81</v>
      </c>
      <c r="B68" s="195" t="s">
        <v>262</v>
      </c>
      <c r="C68" s="201" t="s">
        <v>265</v>
      </c>
      <c r="D68" s="191" t="s">
        <v>266</v>
      </c>
      <c r="E68" s="197">
        <v>287.33</v>
      </c>
      <c r="F68" s="257"/>
      <c r="G68" s="197" t="s">
        <v>178</v>
      </c>
      <c r="H68" s="197"/>
      <c r="I68" s="197"/>
      <c r="J68" s="197">
        <f>E68</f>
        <v>287.33</v>
      </c>
      <c r="K68" s="197"/>
      <c r="L68" s="197"/>
    </row>
    <row r="69" spans="1:12" ht="13.5" customHeight="1" x14ac:dyDescent="0.35">
      <c r="A69" s="191">
        <v>83</v>
      </c>
      <c r="B69" s="195" t="s">
        <v>267</v>
      </c>
      <c r="C69" s="201" t="s">
        <v>268</v>
      </c>
      <c r="D69" s="191" t="s">
        <v>185</v>
      </c>
      <c r="E69" s="197">
        <v>61.99</v>
      </c>
      <c r="F69" s="257"/>
      <c r="G69" s="197" t="s">
        <v>178</v>
      </c>
      <c r="H69" s="197"/>
      <c r="I69" s="197"/>
      <c r="J69" s="197"/>
      <c r="K69" s="197">
        <f>E69</f>
        <v>61.99</v>
      </c>
      <c r="L69" s="197"/>
    </row>
    <row r="70" spans="1:12" ht="13.5" customHeight="1" x14ac:dyDescent="0.35">
      <c r="A70" s="191">
        <v>84</v>
      </c>
      <c r="B70" s="195" t="s">
        <v>267</v>
      </c>
      <c r="C70" s="201" t="s">
        <v>245</v>
      </c>
      <c r="D70" s="191" t="s">
        <v>269</v>
      </c>
      <c r="E70" s="197">
        <v>79.8</v>
      </c>
      <c r="F70" s="257"/>
      <c r="G70" s="197" t="s">
        <v>178</v>
      </c>
      <c r="H70" s="197"/>
      <c r="I70" s="197"/>
      <c r="J70" s="197"/>
      <c r="K70" s="197"/>
      <c r="L70" s="197">
        <f>E70</f>
        <v>79.8</v>
      </c>
    </row>
    <row r="71" spans="1:12" ht="13.5" customHeight="1" x14ac:dyDescent="0.35">
      <c r="A71" s="191">
        <v>85</v>
      </c>
      <c r="B71" s="195" t="s">
        <v>270</v>
      </c>
      <c r="C71" s="201" t="s">
        <v>176</v>
      </c>
      <c r="D71" s="191" t="s">
        <v>177</v>
      </c>
      <c r="E71" s="197">
        <v>55</v>
      </c>
      <c r="F71" s="257"/>
      <c r="G71" s="197" t="s">
        <v>178</v>
      </c>
      <c r="H71" s="197"/>
      <c r="I71" s="197"/>
      <c r="J71" s="197">
        <f>E71</f>
        <v>55</v>
      </c>
      <c r="K71" s="197"/>
      <c r="L71" s="197"/>
    </row>
    <row r="72" spans="1:12" ht="13.5" customHeight="1" x14ac:dyDescent="0.35">
      <c r="A72" s="191">
        <v>86</v>
      </c>
      <c r="B72" s="195" t="s">
        <v>270</v>
      </c>
      <c r="C72" s="201" t="s">
        <v>176</v>
      </c>
      <c r="D72" s="191" t="s">
        <v>177</v>
      </c>
      <c r="E72" s="197">
        <v>55</v>
      </c>
      <c r="F72" s="257"/>
      <c r="G72" s="197" t="s">
        <v>178</v>
      </c>
      <c r="H72" s="197"/>
      <c r="I72" s="197"/>
      <c r="J72" s="197">
        <f>E72</f>
        <v>55</v>
      </c>
      <c r="K72" s="197"/>
      <c r="L72" s="197"/>
    </row>
    <row r="73" spans="1:12" ht="13.5" customHeight="1" x14ac:dyDescent="0.35">
      <c r="A73" s="191">
        <v>87</v>
      </c>
      <c r="B73" s="195" t="s">
        <v>271</v>
      </c>
      <c r="C73" s="201" t="s">
        <v>176</v>
      </c>
      <c r="D73" s="191" t="s">
        <v>177</v>
      </c>
      <c r="E73" s="197">
        <v>55</v>
      </c>
      <c r="F73" s="257"/>
      <c r="G73" s="197" t="s">
        <v>178</v>
      </c>
      <c r="H73" s="197"/>
      <c r="I73" s="197"/>
      <c r="J73" s="197">
        <f>E73</f>
        <v>55</v>
      </c>
      <c r="K73" s="197"/>
      <c r="L73" s="197"/>
    </row>
    <row r="74" spans="1:12" ht="13.5" customHeight="1" x14ac:dyDescent="0.35">
      <c r="A74" s="191">
        <v>89</v>
      </c>
      <c r="B74" s="195" t="s">
        <v>271</v>
      </c>
      <c r="C74" s="201" t="s">
        <v>229</v>
      </c>
      <c r="D74" s="191" t="s">
        <v>177</v>
      </c>
      <c r="E74" s="197">
        <v>200</v>
      </c>
      <c r="F74" s="257"/>
      <c r="G74" s="197" t="s">
        <v>178</v>
      </c>
      <c r="H74" s="197"/>
      <c r="I74" s="197"/>
      <c r="J74" s="197">
        <f>E74</f>
        <v>200</v>
      </c>
      <c r="K74" s="197"/>
      <c r="L74" s="197"/>
    </row>
    <row r="75" spans="1:12" ht="13.5" customHeight="1" x14ac:dyDescent="0.35">
      <c r="A75" s="191">
        <v>90</v>
      </c>
      <c r="B75" s="195" t="s">
        <v>271</v>
      </c>
      <c r="C75" s="201" t="s">
        <v>272</v>
      </c>
      <c r="D75" s="191" t="s">
        <v>185</v>
      </c>
      <c r="E75" s="197">
        <v>143</v>
      </c>
      <c r="F75" s="257"/>
      <c r="G75" s="197" t="s">
        <v>178</v>
      </c>
      <c r="H75" s="197"/>
      <c r="I75" s="197"/>
      <c r="J75" s="197"/>
      <c r="K75" s="197">
        <f>E75</f>
        <v>143</v>
      </c>
      <c r="L75" s="197"/>
    </row>
    <row r="76" spans="1:12" ht="13.5" customHeight="1" x14ac:dyDescent="0.35">
      <c r="A76" s="191">
        <v>91</v>
      </c>
      <c r="B76" s="195" t="s">
        <v>271</v>
      </c>
      <c r="C76" s="201" t="s">
        <v>273</v>
      </c>
      <c r="D76" s="191" t="s">
        <v>274</v>
      </c>
      <c r="E76" s="197">
        <v>183.49</v>
      </c>
      <c r="F76" s="257"/>
      <c r="G76" s="197" t="s">
        <v>178</v>
      </c>
      <c r="H76" s="197"/>
      <c r="I76" s="197"/>
      <c r="J76" s="197"/>
      <c r="K76" s="197">
        <f>E76</f>
        <v>183.49</v>
      </c>
      <c r="L76" s="197"/>
    </row>
    <row r="77" spans="1:12" ht="13.5" customHeight="1" x14ac:dyDescent="0.35">
      <c r="A77" s="191">
        <v>92</v>
      </c>
      <c r="B77" s="195" t="s">
        <v>275</v>
      </c>
      <c r="C77" s="201" t="s">
        <v>176</v>
      </c>
      <c r="D77" s="191" t="s">
        <v>177</v>
      </c>
      <c r="E77" s="197">
        <v>55</v>
      </c>
      <c r="F77" s="257"/>
      <c r="G77" s="197" t="s">
        <v>178</v>
      </c>
      <c r="H77" s="197"/>
      <c r="I77" s="197"/>
      <c r="J77" s="197">
        <f>E77</f>
        <v>55</v>
      </c>
      <c r="K77" s="197"/>
      <c r="L77" s="197"/>
    </row>
    <row r="78" spans="1:12" ht="13.5" customHeight="1" x14ac:dyDescent="0.35">
      <c r="A78" s="191">
        <v>93</v>
      </c>
      <c r="B78" s="195" t="s">
        <v>275</v>
      </c>
      <c r="C78" s="201" t="s">
        <v>276</v>
      </c>
      <c r="D78" s="191" t="s">
        <v>274</v>
      </c>
      <c r="E78" s="197">
        <v>67</v>
      </c>
      <c r="F78" s="257"/>
      <c r="G78" s="197" t="s">
        <v>178</v>
      </c>
      <c r="H78" s="197"/>
      <c r="I78" s="197"/>
      <c r="J78" s="197"/>
      <c r="K78" s="197">
        <f>E78</f>
        <v>67</v>
      </c>
      <c r="L78" s="197"/>
    </row>
    <row r="79" spans="1:12" ht="13.5" customHeight="1" x14ac:dyDescent="0.35">
      <c r="A79" s="191">
        <v>94</v>
      </c>
      <c r="B79" s="195" t="s">
        <v>275</v>
      </c>
      <c r="C79" s="201" t="s">
        <v>277</v>
      </c>
      <c r="D79" s="191" t="s">
        <v>194</v>
      </c>
      <c r="E79" s="197">
        <v>700</v>
      </c>
      <c r="F79" s="257"/>
      <c r="G79" s="197" t="s">
        <v>178</v>
      </c>
      <c r="H79" s="197"/>
      <c r="I79" s="197"/>
      <c r="J79" s="197"/>
      <c r="K79" s="197"/>
      <c r="L79" s="197">
        <f>E79</f>
        <v>700</v>
      </c>
    </row>
    <row r="80" spans="1:12" ht="13.5" customHeight="1" x14ac:dyDescent="0.35">
      <c r="A80" s="191">
        <v>95</v>
      </c>
      <c r="B80" s="195" t="s">
        <v>278</v>
      </c>
      <c r="C80" s="201" t="s">
        <v>222</v>
      </c>
      <c r="D80" s="191" t="s">
        <v>177</v>
      </c>
      <c r="E80" s="197">
        <v>55</v>
      </c>
      <c r="F80" s="257"/>
      <c r="G80" s="197" t="s">
        <v>178</v>
      </c>
      <c r="H80" s="197"/>
      <c r="I80" s="197"/>
      <c r="J80" s="197">
        <f>E80</f>
        <v>55</v>
      </c>
      <c r="K80" s="197"/>
      <c r="L80" s="197"/>
    </row>
    <row r="81" spans="1:12" ht="13.5" customHeight="1" x14ac:dyDescent="0.35">
      <c r="A81" s="191">
        <v>96</v>
      </c>
      <c r="B81" s="195" t="s">
        <v>278</v>
      </c>
      <c r="C81" s="191" t="s">
        <v>279</v>
      </c>
      <c r="D81" s="196" t="s">
        <v>280</v>
      </c>
      <c r="E81" s="197">
        <v>107960</v>
      </c>
      <c r="F81" s="257"/>
      <c r="G81" s="197"/>
      <c r="H81" s="197"/>
      <c r="I81" s="197"/>
      <c r="J81" s="197"/>
      <c r="K81" s="197">
        <f>E81</f>
        <v>107960</v>
      </c>
      <c r="L81" s="197"/>
    </row>
    <row r="82" spans="1:12" ht="13.5" customHeight="1" x14ac:dyDescent="0.35">
      <c r="A82" s="191">
        <v>97</v>
      </c>
      <c r="B82" s="195" t="s">
        <v>278</v>
      </c>
      <c r="C82" s="191" t="s">
        <v>238</v>
      </c>
      <c r="D82" s="196" t="s">
        <v>177</v>
      </c>
      <c r="E82" s="197">
        <v>55</v>
      </c>
      <c r="F82" s="257"/>
      <c r="G82" s="197" t="s">
        <v>178</v>
      </c>
      <c r="H82" s="197"/>
      <c r="I82" s="197"/>
      <c r="J82" s="197">
        <f>E82</f>
        <v>55</v>
      </c>
      <c r="K82" s="197"/>
      <c r="L82" s="197"/>
    </row>
    <row r="83" spans="1:12" ht="13.5" customHeight="1" x14ac:dyDescent="0.35">
      <c r="A83" s="191">
        <v>98</v>
      </c>
      <c r="B83" s="195" t="s">
        <v>278</v>
      </c>
      <c r="C83" s="191" t="s">
        <v>268</v>
      </c>
      <c r="D83" s="196" t="s">
        <v>274</v>
      </c>
      <c r="E83" s="197">
        <v>38.99</v>
      </c>
      <c r="F83" s="257"/>
      <c r="G83" s="197" t="s">
        <v>178</v>
      </c>
      <c r="H83" s="197"/>
      <c r="I83" s="197"/>
      <c r="J83" s="197"/>
      <c r="K83" s="197"/>
      <c r="L83" s="197">
        <f>E83</f>
        <v>38.99</v>
      </c>
    </row>
    <row r="84" spans="1:12" ht="13.5" customHeight="1" x14ac:dyDescent="0.35">
      <c r="A84" s="191">
        <v>99</v>
      </c>
      <c r="B84" s="195" t="s">
        <v>278</v>
      </c>
      <c r="C84" s="191" t="s">
        <v>244</v>
      </c>
      <c r="D84" s="196" t="s">
        <v>274</v>
      </c>
      <c r="E84" s="197">
        <v>49.9</v>
      </c>
      <c r="F84" s="257"/>
      <c r="G84" s="197" t="s">
        <v>178</v>
      </c>
      <c r="H84" s="197"/>
      <c r="I84" s="197"/>
      <c r="J84" s="197"/>
      <c r="K84" s="197"/>
      <c r="L84" s="197">
        <f>E84</f>
        <v>49.9</v>
      </c>
    </row>
    <row r="85" spans="1:12" ht="13.5" customHeight="1" x14ac:dyDescent="0.35">
      <c r="A85" s="191">
        <v>100</v>
      </c>
      <c r="B85" s="195" t="s">
        <v>278</v>
      </c>
      <c r="C85" s="201" t="s">
        <v>281</v>
      </c>
      <c r="D85" s="191" t="s">
        <v>266</v>
      </c>
      <c r="E85" s="197">
        <v>66.989999999999995</v>
      </c>
      <c r="F85" s="257"/>
      <c r="G85" s="197" t="s">
        <v>178</v>
      </c>
      <c r="H85" s="197"/>
      <c r="I85" s="197"/>
      <c r="J85" s="197">
        <f>E85</f>
        <v>66.989999999999995</v>
      </c>
      <c r="K85" s="197"/>
      <c r="L85" s="197"/>
    </row>
    <row r="86" spans="1:12" ht="13.5" customHeight="1" x14ac:dyDescent="0.35">
      <c r="A86" s="191">
        <v>101</v>
      </c>
      <c r="B86" s="195" t="s">
        <v>278</v>
      </c>
      <c r="C86" s="201" t="s">
        <v>204</v>
      </c>
      <c r="D86" s="191" t="s">
        <v>194</v>
      </c>
      <c r="E86" s="197">
        <v>300</v>
      </c>
      <c r="F86" s="257"/>
      <c r="G86" s="204"/>
      <c r="H86" s="204"/>
      <c r="I86" s="197"/>
      <c r="J86" s="197"/>
      <c r="K86" s="197"/>
      <c r="L86" s="197">
        <f>E86</f>
        <v>300</v>
      </c>
    </row>
    <row r="87" spans="1:12" ht="13.5" customHeight="1" x14ac:dyDescent="0.35">
      <c r="A87" s="191">
        <v>102</v>
      </c>
      <c r="B87" s="195" t="s">
        <v>282</v>
      </c>
      <c r="C87" s="201" t="s">
        <v>283</v>
      </c>
      <c r="D87" s="191" t="s">
        <v>179</v>
      </c>
      <c r="E87" s="197">
        <v>40000</v>
      </c>
      <c r="F87" s="257"/>
      <c r="G87" s="204"/>
      <c r="H87" s="204">
        <f>E87</f>
        <v>40000</v>
      </c>
      <c r="I87" s="197"/>
      <c r="J87" s="197"/>
      <c r="K87" s="197"/>
      <c r="L87" s="197"/>
    </row>
    <row r="88" spans="1:12" ht="13.5" customHeight="1" x14ac:dyDescent="0.35">
      <c r="A88" s="191">
        <v>103</v>
      </c>
      <c r="B88" s="195" t="s">
        <v>282</v>
      </c>
      <c r="C88" s="201" t="s">
        <v>285</v>
      </c>
      <c r="D88" s="191" t="s">
        <v>207</v>
      </c>
      <c r="E88" s="197">
        <v>1200</v>
      </c>
      <c r="F88" s="257"/>
      <c r="G88" s="197" t="s">
        <v>178</v>
      </c>
      <c r="H88" s="197"/>
      <c r="I88" s="197"/>
      <c r="J88" s="197"/>
      <c r="K88" s="197"/>
      <c r="L88" s="197">
        <f>E88</f>
        <v>1200</v>
      </c>
    </row>
    <row r="89" spans="1:12" ht="13.5" customHeight="1" x14ac:dyDescent="0.35">
      <c r="A89" s="191">
        <v>104</v>
      </c>
      <c r="B89" s="195" t="s">
        <v>282</v>
      </c>
      <c r="C89" s="201" t="s">
        <v>286</v>
      </c>
      <c r="D89" s="191" t="s">
        <v>185</v>
      </c>
      <c r="E89" s="197">
        <v>90</v>
      </c>
      <c r="F89" s="257"/>
      <c r="G89" s="197" t="s">
        <v>178</v>
      </c>
      <c r="H89" s="197"/>
      <c r="I89" s="197"/>
      <c r="J89" s="197">
        <f>E89</f>
        <v>90</v>
      </c>
      <c r="K89" s="197"/>
      <c r="L89" s="197"/>
    </row>
    <row r="90" spans="1:12" ht="13.5" customHeight="1" x14ac:dyDescent="0.35">
      <c r="A90" s="191">
        <v>105</v>
      </c>
      <c r="B90" s="195" t="s">
        <v>287</v>
      </c>
      <c r="C90" s="201" t="s">
        <v>229</v>
      </c>
      <c r="D90" s="191" t="s">
        <v>241</v>
      </c>
      <c r="E90" s="197">
        <v>200</v>
      </c>
      <c r="F90" s="257"/>
      <c r="G90" s="197" t="s">
        <v>178</v>
      </c>
      <c r="H90" s="197"/>
      <c r="I90" s="197"/>
      <c r="J90" s="197">
        <f>E90</f>
        <v>200</v>
      </c>
      <c r="K90" s="197"/>
      <c r="L90" s="197"/>
    </row>
    <row r="91" spans="1:12" ht="13.5" customHeight="1" x14ac:dyDescent="0.35">
      <c r="A91" s="191">
        <v>106</v>
      </c>
      <c r="B91" s="195" t="s">
        <v>287</v>
      </c>
      <c r="C91" s="201" t="s">
        <v>186</v>
      </c>
      <c r="D91" s="191" t="s">
        <v>185</v>
      </c>
      <c r="E91" s="197">
        <v>471.33</v>
      </c>
      <c r="F91" s="257"/>
      <c r="G91" s="197" t="s">
        <v>178</v>
      </c>
      <c r="H91" s="197"/>
      <c r="I91" s="197"/>
      <c r="J91" s="197">
        <f>E91</f>
        <v>471.33</v>
      </c>
      <c r="K91" s="197"/>
      <c r="L91" s="197"/>
    </row>
    <row r="92" spans="1:12" ht="13.5" customHeight="1" x14ac:dyDescent="0.35">
      <c r="A92" s="191">
        <v>107</v>
      </c>
      <c r="B92" s="195" t="s">
        <v>287</v>
      </c>
      <c r="C92" s="201" t="s">
        <v>193</v>
      </c>
      <c r="D92" s="191" t="s">
        <v>194</v>
      </c>
      <c r="E92" s="197">
        <v>150</v>
      </c>
      <c r="F92" s="257"/>
      <c r="G92" s="197" t="s">
        <v>178</v>
      </c>
      <c r="H92" s="197"/>
      <c r="I92" s="197"/>
      <c r="J92" s="197"/>
      <c r="K92" s="197"/>
      <c r="L92" s="197">
        <f>E92</f>
        <v>150</v>
      </c>
    </row>
    <row r="93" spans="1:12" ht="13.5" customHeight="1" x14ac:dyDescent="0.35">
      <c r="A93" s="191">
        <v>108</v>
      </c>
      <c r="B93" s="195" t="s">
        <v>287</v>
      </c>
      <c r="C93" s="201" t="s">
        <v>193</v>
      </c>
      <c r="D93" s="191" t="s">
        <v>194</v>
      </c>
      <c r="E93" s="197">
        <v>200</v>
      </c>
      <c r="F93" s="257"/>
      <c r="G93" s="197" t="s">
        <v>178</v>
      </c>
      <c r="H93" s="197"/>
      <c r="I93" s="197"/>
      <c r="J93" s="197"/>
      <c r="K93" s="197"/>
      <c r="L93" s="197">
        <f>E93</f>
        <v>200</v>
      </c>
    </row>
    <row r="94" spans="1:12" ht="13.5" customHeight="1" x14ac:dyDescent="0.35">
      <c r="A94" s="191">
        <v>109</v>
      </c>
      <c r="B94" s="195" t="s">
        <v>287</v>
      </c>
      <c r="C94" s="201" t="s">
        <v>222</v>
      </c>
      <c r="D94" s="191" t="s">
        <v>177</v>
      </c>
      <c r="E94" s="197">
        <v>55</v>
      </c>
      <c r="F94" s="257"/>
      <c r="G94" s="197" t="s">
        <v>178</v>
      </c>
      <c r="H94" s="197"/>
      <c r="I94" s="197"/>
      <c r="J94" s="197">
        <f>E94</f>
        <v>55</v>
      </c>
      <c r="K94" s="197"/>
      <c r="L94" s="197"/>
    </row>
    <row r="95" spans="1:12" ht="13.5" customHeight="1" x14ac:dyDescent="0.35">
      <c r="A95" s="191">
        <v>110</v>
      </c>
      <c r="B95" s="195" t="s">
        <v>288</v>
      </c>
      <c r="C95" s="201" t="s">
        <v>222</v>
      </c>
      <c r="D95" s="191" t="s">
        <v>177</v>
      </c>
      <c r="E95" s="197">
        <v>55</v>
      </c>
      <c r="F95" s="257"/>
      <c r="G95" s="197" t="s">
        <v>178</v>
      </c>
      <c r="H95" s="197"/>
      <c r="I95" s="197"/>
      <c r="J95" s="197">
        <f>E95</f>
        <v>55</v>
      </c>
      <c r="K95" s="197"/>
      <c r="L95" s="197"/>
    </row>
    <row r="96" spans="1:12" ht="13.5" customHeight="1" x14ac:dyDescent="0.35">
      <c r="A96" s="191">
        <v>111</v>
      </c>
      <c r="B96" s="195" t="s">
        <v>288</v>
      </c>
      <c r="C96" s="201" t="s">
        <v>193</v>
      </c>
      <c r="D96" s="191" t="s">
        <v>194</v>
      </c>
      <c r="E96" s="197">
        <v>150</v>
      </c>
      <c r="F96" s="257"/>
      <c r="G96" s="197" t="s">
        <v>178</v>
      </c>
      <c r="H96" s="197"/>
      <c r="I96" s="197"/>
      <c r="J96" s="197"/>
      <c r="K96" s="197"/>
      <c r="L96" s="197">
        <f>E96</f>
        <v>150</v>
      </c>
    </row>
    <row r="97" spans="1:12" ht="13.5" customHeight="1" x14ac:dyDescent="0.35">
      <c r="A97" s="191">
        <v>112</v>
      </c>
      <c r="B97" s="195" t="s">
        <v>288</v>
      </c>
      <c r="C97" s="201" t="s">
        <v>193</v>
      </c>
      <c r="D97" s="191" t="s">
        <v>194</v>
      </c>
      <c r="E97" s="197">
        <v>700</v>
      </c>
      <c r="F97" s="257"/>
      <c r="G97" s="197" t="s">
        <v>178</v>
      </c>
      <c r="H97" s="197"/>
      <c r="I97" s="197"/>
      <c r="J97" s="197"/>
      <c r="K97" s="197"/>
      <c r="L97" s="197">
        <f>E97</f>
        <v>700</v>
      </c>
    </row>
    <row r="98" spans="1:12" ht="13.5" customHeight="1" x14ac:dyDescent="0.35">
      <c r="A98" s="191">
        <v>113</v>
      </c>
      <c r="B98" s="195" t="s">
        <v>289</v>
      </c>
      <c r="C98" s="201" t="s">
        <v>238</v>
      </c>
      <c r="D98" s="191" t="s">
        <v>177</v>
      </c>
      <c r="E98" s="197">
        <v>9</v>
      </c>
      <c r="F98" s="257"/>
      <c r="G98" s="197" t="s">
        <v>178</v>
      </c>
      <c r="H98" s="197"/>
      <c r="I98" s="197"/>
      <c r="J98" s="197">
        <f>E98</f>
        <v>9</v>
      </c>
      <c r="K98" s="197"/>
      <c r="L98" s="197"/>
    </row>
    <row r="99" spans="1:12" ht="13.5" customHeight="1" x14ac:dyDescent="0.35">
      <c r="A99" s="191">
        <v>115</v>
      </c>
      <c r="B99" s="195" t="s">
        <v>289</v>
      </c>
      <c r="C99" s="201" t="s">
        <v>290</v>
      </c>
      <c r="D99" s="191" t="s">
        <v>291</v>
      </c>
      <c r="E99" s="197">
        <v>52.99</v>
      </c>
      <c r="F99" s="257"/>
      <c r="G99" s="197" t="s">
        <v>178</v>
      </c>
      <c r="H99" s="197"/>
      <c r="I99" s="197"/>
      <c r="J99" s="197">
        <f>E99</f>
        <v>52.99</v>
      </c>
      <c r="K99" s="197"/>
      <c r="L99" s="197"/>
    </row>
    <row r="100" spans="1:12" ht="13.5" customHeight="1" x14ac:dyDescent="0.35">
      <c r="A100" s="191">
        <v>116</v>
      </c>
      <c r="B100" s="195" t="s">
        <v>292</v>
      </c>
      <c r="C100" s="201" t="s">
        <v>196</v>
      </c>
      <c r="D100" s="191" t="s">
        <v>293</v>
      </c>
      <c r="E100" s="197">
        <v>8500</v>
      </c>
      <c r="F100" s="257"/>
      <c r="G100" s="204"/>
      <c r="H100" s="204"/>
      <c r="I100" s="197"/>
      <c r="J100" s="197">
        <f>E100</f>
        <v>8500</v>
      </c>
      <c r="K100" s="197"/>
      <c r="L100" s="197"/>
    </row>
    <row r="101" spans="1:12" ht="13.5" customHeight="1" x14ac:dyDescent="0.35">
      <c r="A101" s="191">
        <v>117</v>
      </c>
      <c r="B101" s="195" t="s">
        <v>292</v>
      </c>
      <c r="C101" s="201" t="s">
        <v>294</v>
      </c>
      <c r="D101" s="191" t="s">
        <v>207</v>
      </c>
      <c r="E101" s="197">
        <v>2350</v>
      </c>
      <c r="F101" s="257"/>
      <c r="G101" s="197" t="s">
        <v>178</v>
      </c>
      <c r="H101" s="197"/>
      <c r="I101" s="197"/>
      <c r="J101" s="197"/>
      <c r="K101" s="197"/>
      <c r="L101" s="197">
        <f>E101</f>
        <v>2350</v>
      </c>
    </row>
    <row r="102" spans="1:12" ht="13.5" customHeight="1" x14ac:dyDescent="0.35">
      <c r="A102" s="191">
        <v>118</v>
      </c>
      <c r="B102" s="195" t="s">
        <v>292</v>
      </c>
      <c r="C102" s="201" t="s">
        <v>231</v>
      </c>
      <c r="D102" s="191" t="s">
        <v>207</v>
      </c>
      <c r="E102" s="197">
        <v>1200</v>
      </c>
      <c r="F102" s="257"/>
      <c r="G102" s="204" t="s">
        <v>178</v>
      </c>
      <c r="H102" s="204"/>
      <c r="I102" s="197"/>
      <c r="J102" s="197"/>
      <c r="K102" s="197"/>
      <c r="L102" s="197">
        <f>E102</f>
        <v>1200</v>
      </c>
    </row>
    <row r="103" spans="1:12" ht="13.5" customHeight="1" x14ac:dyDescent="0.35">
      <c r="A103" s="191">
        <v>119</v>
      </c>
      <c r="B103" s="195" t="s">
        <v>292</v>
      </c>
      <c r="C103" s="201" t="s">
        <v>223</v>
      </c>
      <c r="D103" s="191" t="s">
        <v>207</v>
      </c>
      <c r="E103" s="197">
        <v>1000</v>
      </c>
      <c r="F103" s="257"/>
      <c r="G103" s="204" t="s">
        <v>178</v>
      </c>
      <c r="H103" s="204"/>
      <c r="I103" s="197"/>
      <c r="J103" s="197"/>
      <c r="K103" s="197"/>
      <c r="L103" s="197">
        <f>E103</f>
        <v>1000</v>
      </c>
    </row>
    <row r="104" spans="1:12" ht="13.5" customHeight="1" x14ac:dyDescent="0.35">
      <c r="A104" s="191">
        <v>120</v>
      </c>
      <c r="B104" s="195" t="s">
        <v>292</v>
      </c>
      <c r="C104" s="201" t="s">
        <v>222</v>
      </c>
      <c r="D104" s="191" t="s">
        <v>177</v>
      </c>
      <c r="E104" s="197">
        <v>55</v>
      </c>
      <c r="F104" s="257"/>
      <c r="G104" s="197" t="s">
        <v>178</v>
      </c>
      <c r="H104" s="197"/>
      <c r="I104" s="197"/>
      <c r="J104" s="197">
        <f t="shared" ref="J104:J112" si="0">E104</f>
        <v>55</v>
      </c>
      <c r="K104" s="197"/>
      <c r="L104" s="197"/>
    </row>
    <row r="105" spans="1:12" ht="13.5" customHeight="1" x14ac:dyDescent="0.35">
      <c r="A105" s="191">
        <v>121</v>
      </c>
      <c r="B105" s="195" t="s">
        <v>292</v>
      </c>
      <c r="C105" s="201" t="s">
        <v>229</v>
      </c>
      <c r="D105" s="191" t="s">
        <v>241</v>
      </c>
      <c r="E105" s="197">
        <v>200</v>
      </c>
      <c r="F105" s="257"/>
      <c r="G105" s="197" t="s">
        <v>178</v>
      </c>
      <c r="H105" s="197"/>
      <c r="I105" s="197"/>
      <c r="J105" s="197">
        <f t="shared" si="0"/>
        <v>200</v>
      </c>
      <c r="K105" s="197"/>
      <c r="L105" s="197"/>
    </row>
    <row r="106" spans="1:12" ht="13.5" customHeight="1" x14ac:dyDescent="0.35">
      <c r="A106" s="191">
        <v>128</v>
      </c>
      <c r="B106" s="195" t="s">
        <v>292</v>
      </c>
      <c r="C106" s="201" t="s">
        <v>238</v>
      </c>
      <c r="D106" s="191" t="s">
        <v>177</v>
      </c>
      <c r="E106" s="197">
        <v>55</v>
      </c>
      <c r="F106" s="257"/>
      <c r="G106" s="197" t="s">
        <v>178</v>
      </c>
      <c r="H106" s="197"/>
      <c r="I106" s="197"/>
      <c r="J106" s="197">
        <f t="shared" si="0"/>
        <v>55</v>
      </c>
      <c r="K106" s="197"/>
      <c r="L106" s="197"/>
    </row>
    <row r="107" spans="1:12" ht="13.5" customHeight="1" x14ac:dyDescent="0.35">
      <c r="A107" s="191">
        <v>129</v>
      </c>
      <c r="B107" s="195" t="s">
        <v>292</v>
      </c>
      <c r="C107" s="201" t="s">
        <v>295</v>
      </c>
      <c r="D107" s="191" t="s">
        <v>212</v>
      </c>
      <c r="E107" s="197">
        <v>315</v>
      </c>
      <c r="F107" s="257"/>
      <c r="G107" s="197" t="s">
        <v>178</v>
      </c>
      <c r="H107" s="197"/>
      <c r="I107" s="197"/>
      <c r="J107" s="197">
        <f t="shared" si="0"/>
        <v>315</v>
      </c>
      <c r="K107" s="197"/>
      <c r="L107" s="197"/>
    </row>
    <row r="108" spans="1:12" ht="13.5" customHeight="1" x14ac:dyDescent="0.35">
      <c r="A108" s="191">
        <v>130</v>
      </c>
      <c r="B108" s="195" t="s">
        <v>292</v>
      </c>
      <c r="C108" s="201" t="s">
        <v>296</v>
      </c>
      <c r="D108" s="191" t="s">
        <v>297</v>
      </c>
      <c r="E108" s="197">
        <v>450</v>
      </c>
      <c r="F108" s="203"/>
      <c r="G108" s="204" t="s">
        <v>178</v>
      </c>
      <c r="H108" s="204"/>
      <c r="I108" s="197"/>
      <c r="J108" s="197">
        <f t="shared" si="0"/>
        <v>450</v>
      </c>
      <c r="K108" s="197"/>
      <c r="L108" s="197"/>
    </row>
    <row r="109" spans="1:12" ht="13.5" customHeight="1" x14ac:dyDescent="0.35">
      <c r="A109" s="191">
        <v>131</v>
      </c>
      <c r="B109" s="195" t="s">
        <v>292</v>
      </c>
      <c r="C109" s="201" t="s">
        <v>298</v>
      </c>
      <c r="D109" s="191" t="s">
        <v>299</v>
      </c>
      <c r="E109" s="197">
        <v>347.5</v>
      </c>
      <c r="F109" s="199"/>
      <c r="G109" s="197" t="s">
        <v>178</v>
      </c>
      <c r="H109" s="197"/>
      <c r="I109" s="197"/>
      <c r="J109" s="197">
        <f t="shared" si="0"/>
        <v>347.5</v>
      </c>
      <c r="K109" s="197"/>
      <c r="L109" s="197"/>
    </row>
    <row r="110" spans="1:12" ht="13.5" customHeight="1" x14ac:dyDescent="0.35">
      <c r="A110" s="191">
        <v>132</v>
      </c>
      <c r="B110" s="195" t="s">
        <v>292</v>
      </c>
      <c r="C110" s="201" t="s">
        <v>300</v>
      </c>
      <c r="D110" s="191" t="s">
        <v>299</v>
      </c>
      <c r="E110" s="197">
        <v>109.99</v>
      </c>
      <c r="F110" s="203"/>
      <c r="G110" s="204" t="s">
        <v>178</v>
      </c>
      <c r="H110" s="204"/>
      <c r="I110" s="197"/>
      <c r="J110" s="197">
        <f t="shared" si="0"/>
        <v>109.99</v>
      </c>
      <c r="K110" s="197"/>
      <c r="L110" s="197"/>
    </row>
    <row r="111" spans="1:12" ht="13.5" customHeight="1" x14ac:dyDescent="0.35">
      <c r="A111" s="191">
        <v>133</v>
      </c>
      <c r="B111" s="195" t="s">
        <v>301</v>
      </c>
      <c r="C111" s="201" t="s">
        <v>222</v>
      </c>
      <c r="D111" s="191" t="s">
        <v>177</v>
      </c>
      <c r="E111" s="197">
        <v>55</v>
      </c>
      <c r="F111" s="194"/>
      <c r="G111" s="197" t="s">
        <v>178</v>
      </c>
      <c r="H111" s="197"/>
      <c r="I111" s="197"/>
      <c r="J111" s="197">
        <f t="shared" si="0"/>
        <v>55</v>
      </c>
      <c r="K111" s="197"/>
      <c r="L111" s="197"/>
    </row>
    <row r="112" spans="1:12" ht="13.5" customHeight="1" x14ac:dyDescent="0.35">
      <c r="A112" s="191">
        <v>134</v>
      </c>
      <c r="B112" s="195" t="s">
        <v>301</v>
      </c>
      <c r="C112" s="201" t="s">
        <v>302</v>
      </c>
      <c r="D112" s="191" t="s">
        <v>299</v>
      </c>
      <c r="E112" s="197">
        <v>229</v>
      </c>
      <c r="F112" s="203"/>
      <c r="G112" s="204" t="s">
        <v>178</v>
      </c>
      <c r="H112" s="204"/>
      <c r="I112" s="197"/>
      <c r="J112" s="197">
        <f t="shared" si="0"/>
        <v>229</v>
      </c>
      <c r="K112" s="197"/>
      <c r="L112" s="197"/>
    </row>
    <row r="113" spans="1:12" ht="13.5" customHeight="1" x14ac:dyDescent="0.35">
      <c r="A113" s="191">
        <v>135</v>
      </c>
      <c r="B113" s="195" t="s">
        <v>301</v>
      </c>
      <c r="C113" s="201" t="s">
        <v>303</v>
      </c>
      <c r="D113" s="191" t="s">
        <v>303</v>
      </c>
      <c r="E113" s="197">
        <v>783.95</v>
      </c>
      <c r="F113" s="194"/>
      <c r="G113" s="197" t="s">
        <v>178</v>
      </c>
      <c r="H113" s="197"/>
      <c r="I113" s="197">
        <f>E113</f>
        <v>783.95</v>
      </c>
      <c r="J113" s="197"/>
      <c r="K113" s="197"/>
      <c r="L113" s="197"/>
    </row>
    <row r="114" spans="1:12" ht="13.5" customHeight="1" x14ac:dyDescent="0.35">
      <c r="A114" s="191">
        <v>137</v>
      </c>
      <c r="B114" s="195" t="s">
        <v>304</v>
      </c>
      <c r="C114" s="201" t="s">
        <v>176</v>
      </c>
      <c r="D114" s="191" t="s">
        <v>177</v>
      </c>
      <c r="E114" s="197">
        <v>55</v>
      </c>
      <c r="F114" s="194"/>
      <c r="G114" s="197" t="s">
        <v>178</v>
      </c>
      <c r="H114" s="197"/>
      <c r="I114" s="197"/>
      <c r="J114" s="197">
        <f>E114</f>
        <v>55</v>
      </c>
      <c r="K114" s="197"/>
      <c r="L114" s="197"/>
    </row>
    <row r="115" spans="1:12" ht="13.5" customHeight="1" x14ac:dyDescent="0.35">
      <c r="A115" s="191">
        <v>138</v>
      </c>
      <c r="B115" s="195" t="s">
        <v>304</v>
      </c>
      <c r="C115" s="201" t="s">
        <v>176</v>
      </c>
      <c r="D115" s="191" t="s">
        <v>177</v>
      </c>
      <c r="E115" s="197">
        <v>10</v>
      </c>
      <c r="F115" s="194"/>
      <c r="G115" s="197" t="s">
        <v>178</v>
      </c>
      <c r="H115" s="197"/>
      <c r="I115" s="197"/>
      <c r="J115" s="197">
        <f>E115</f>
        <v>10</v>
      </c>
      <c r="K115" s="197"/>
      <c r="L115" s="197"/>
    </row>
    <row r="116" spans="1:12" ht="13.5" customHeight="1" x14ac:dyDescent="0.35">
      <c r="A116" s="191">
        <v>139</v>
      </c>
      <c r="B116" s="195" t="s">
        <v>304</v>
      </c>
      <c r="C116" s="201" t="s">
        <v>305</v>
      </c>
      <c r="D116" s="191" t="s">
        <v>185</v>
      </c>
      <c r="E116" s="197">
        <v>86.18</v>
      </c>
      <c r="F116" s="194"/>
      <c r="G116" s="197" t="s">
        <v>178</v>
      </c>
      <c r="H116" s="197"/>
      <c r="I116" s="197"/>
      <c r="J116" s="197"/>
      <c r="K116" s="197"/>
      <c r="L116" s="197">
        <f>E116</f>
        <v>86.18</v>
      </c>
    </row>
    <row r="117" spans="1:12" ht="13.5" customHeight="1" x14ac:dyDescent="0.35">
      <c r="A117" s="191">
        <v>140</v>
      </c>
      <c r="B117" s="195" t="s">
        <v>304</v>
      </c>
      <c r="C117" s="201" t="s">
        <v>264</v>
      </c>
      <c r="D117" s="191" t="s">
        <v>194</v>
      </c>
      <c r="E117" s="197">
        <v>334</v>
      </c>
      <c r="F117" s="194"/>
      <c r="G117" s="197" t="s">
        <v>178</v>
      </c>
      <c r="H117" s="197"/>
      <c r="I117" s="197"/>
      <c r="J117" s="197"/>
      <c r="K117" s="197"/>
      <c r="L117" s="197">
        <f>E117</f>
        <v>334</v>
      </c>
    </row>
    <row r="118" spans="1:12" ht="13.5" customHeight="1" x14ac:dyDescent="0.35">
      <c r="A118" s="191">
        <v>142</v>
      </c>
      <c r="B118" s="195" t="s">
        <v>306</v>
      </c>
      <c r="C118" s="201" t="s">
        <v>249</v>
      </c>
      <c r="D118" s="191" t="s">
        <v>185</v>
      </c>
      <c r="E118" s="197">
        <v>25</v>
      </c>
      <c r="F118" s="194"/>
      <c r="G118" s="197" t="s">
        <v>178</v>
      </c>
      <c r="H118" s="197"/>
      <c r="I118" s="197"/>
      <c r="J118" s="197">
        <f t="shared" ref="J118:J124" si="1">E118</f>
        <v>25</v>
      </c>
      <c r="K118" s="197"/>
      <c r="L118" s="197"/>
    </row>
    <row r="119" spans="1:12" ht="13.5" customHeight="1" x14ac:dyDescent="0.35">
      <c r="A119" s="191">
        <v>143</v>
      </c>
      <c r="B119" s="195" t="s">
        <v>306</v>
      </c>
      <c r="C119" s="201" t="s">
        <v>286</v>
      </c>
      <c r="D119" s="191" t="s">
        <v>185</v>
      </c>
      <c r="E119" s="197">
        <v>60</v>
      </c>
      <c r="F119" s="194"/>
      <c r="G119" s="197" t="s">
        <v>178</v>
      </c>
      <c r="H119" s="197"/>
      <c r="I119" s="197"/>
      <c r="J119" s="197">
        <f t="shared" si="1"/>
        <v>60</v>
      </c>
      <c r="K119" s="197"/>
      <c r="L119" s="197"/>
    </row>
    <row r="120" spans="1:12" ht="13.5" customHeight="1" x14ac:dyDescent="0.35">
      <c r="A120" s="191">
        <v>145</v>
      </c>
      <c r="B120" s="195" t="s">
        <v>307</v>
      </c>
      <c r="C120" s="201" t="s">
        <v>264</v>
      </c>
      <c r="D120" s="191" t="s">
        <v>185</v>
      </c>
      <c r="E120" s="197">
        <v>60</v>
      </c>
      <c r="F120" s="194"/>
      <c r="G120" s="197" t="s">
        <v>178</v>
      </c>
      <c r="H120" s="197"/>
      <c r="I120" s="197"/>
      <c r="J120" s="197">
        <f t="shared" si="1"/>
        <v>60</v>
      </c>
      <c r="K120" s="197"/>
      <c r="L120" s="197"/>
    </row>
    <row r="121" spans="1:12" ht="13.5" customHeight="1" x14ac:dyDescent="0.35">
      <c r="A121" s="191">
        <v>146</v>
      </c>
      <c r="B121" s="195" t="s">
        <v>307</v>
      </c>
      <c r="C121" s="201" t="s">
        <v>308</v>
      </c>
      <c r="D121" s="191" t="s">
        <v>185</v>
      </c>
      <c r="E121" s="197">
        <v>86.9</v>
      </c>
      <c r="F121" s="194"/>
      <c r="G121" s="197" t="s">
        <v>178</v>
      </c>
      <c r="H121" s="197"/>
      <c r="I121" s="197"/>
      <c r="J121" s="197">
        <f t="shared" si="1"/>
        <v>86.9</v>
      </c>
      <c r="K121" s="197"/>
      <c r="L121" s="197"/>
    </row>
    <row r="122" spans="1:12" ht="13.5" customHeight="1" x14ac:dyDescent="0.35">
      <c r="A122" s="191">
        <v>151</v>
      </c>
      <c r="B122" s="195" t="s">
        <v>309</v>
      </c>
      <c r="C122" s="201" t="s">
        <v>244</v>
      </c>
      <c r="D122" s="191" t="s">
        <v>185</v>
      </c>
      <c r="E122" s="197">
        <v>67.8</v>
      </c>
      <c r="F122" s="194"/>
      <c r="G122" s="197" t="s">
        <v>178</v>
      </c>
      <c r="H122" s="197"/>
      <c r="I122" s="197"/>
      <c r="J122" s="197">
        <f t="shared" si="1"/>
        <v>67.8</v>
      </c>
      <c r="K122" s="197"/>
      <c r="L122" s="197"/>
    </row>
    <row r="123" spans="1:12" ht="13.5" customHeight="1" x14ac:dyDescent="0.35">
      <c r="A123" s="191">
        <v>152</v>
      </c>
      <c r="B123" s="195" t="s">
        <v>309</v>
      </c>
      <c r="C123" s="201" t="s">
        <v>238</v>
      </c>
      <c r="D123" s="191" t="s">
        <v>177</v>
      </c>
      <c r="E123" s="197">
        <v>70</v>
      </c>
      <c r="F123" s="194"/>
      <c r="G123" s="197" t="s">
        <v>178</v>
      </c>
      <c r="H123" s="197"/>
      <c r="I123" s="197"/>
      <c r="J123" s="197">
        <f t="shared" si="1"/>
        <v>70</v>
      </c>
      <c r="K123" s="197"/>
      <c r="L123" s="197"/>
    </row>
    <row r="124" spans="1:12" ht="13.5" customHeight="1" x14ac:dyDescent="0.35">
      <c r="A124" s="191">
        <v>153</v>
      </c>
      <c r="B124" s="195" t="s">
        <v>310</v>
      </c>
      <c r="C124" s="201" t="s">
        <v>311</v>
      </c>
      <c r="D124" s="191" t="s">
        <v>177</v>
      </c>
      <c r="E124" s="197">
        <v>100</v>
      </c>
      <c r="F124" s="194"/>
      <c r="G124" s="197" t="s">
        <v>178</v>
      </c>
      <c r="H124" s="197"/>
      <c r="I124" s="197"/>
      <c r="J124" s="197">
        <f t="shared" si="1"/>
        <v>100</v>
      </c>
      <c r="K124" s="197"/>
      <c r="L124" s="197"/>
    </row>
    <row r="125" spans="1:12" ht="13.5" customHeight="1" x14ac:dyDescent="0.35">
      <c r="A125" s="191">
        <v>154</v>
      </c>
      <c r="B125" s="195" t="s">
        <v>310</v>
      </c>
      <c r="C125" s="201" t="s">
        <v>277</v>
      </c>
      <c r="D125" s="191" t="s">
        <v>194</v>
      </c>
      <c r="E125" s="197">
        <v>500</v>
      </c>
      <c r="F125" s="194"/>
      <c r="G125" s="197" t="s">
        <v>178</v>
      </c>
      <c r="H125" s="197"/>
      <c r="I125" s="197"/>
      <c r="J125" s="197"/>
      <c r="K125" s="197"/>
      <c r="L125" s="197">
        <f>E125</f>
        <v>500</v>
      </c>
    </row>
    <row r="126" spans="1:12" ht="13.5" customHeight="1" x14ac:dyDescent="0.35">
      <c r="A126" s="191">
        <v>155</v>
      </c>
      <c r="B126" s="195" t="s">
        <v>312</v>
      </c>
      <c r="C126" s="201" t="s">
        <v>222</v>
      </c>
      <c r="D126" s="191" t="s">
        <v>177</v>
      </c>
      <c r="E126" s="197">
        <v>70</v>
      </c>
      <c r="F126" s="194"/>
      <c r="G126" s="197" t="s">
        <v>178</v>
      </c>
      <c r="H126" s="197"/>
      <c r="I126" s="197"/>
      <c r="J126" s="197">
        <f>E126</f>
        <v>70</v>
      </c>
      <c r="K126" s="197"/>
      <c r="L126" s="197"/>
    </row>
    <row r="127" spans="1:12" ht="12.75" customHeight="1" x14ac:dyDescent="0.35">
      <c r="A127" s="191">
        <v>157</v>
      </c>
      <c r="B127" s="195" t="s">
        <v>313</v>
      </c>
      <c r="C127" s="201" t="s">
        <v>238</v>
      </c>
      <c r="D127" s="191" t="s">
        <v>177</v>
      </c>
      <c r="E127" s="197">
        <v>70</v>
      </c>
      <c r="F127" s="194"/>
      <c r="G127" s="197" t="s">
        <v>178</v>
      </c>
      <c r="H127" s="197"/>
      <c r="I127" s="197"/>
      <c r="J127" s="197">
        <f>E127</f>
        <v>70</v>
      </c>
      <c r="K127" s="197"/>
      <c r="L127" s="197"/>
    </row>
    <row r="128" spans="1:12" ht="12.75" customHeight="1" x14ac:dyDescent="0.35">
      <c r="A128" s="191">
        <v>158</v>
      </c>
      <c r="B128" s="195" t="s">
        <v>313</v>
      </c>
      <c r="C128" s="201" t="s">
        <v>314</v>
      </c>
      <c r="D128" s="191" t="s">
        <v>253</v>
      </c>
      <c r="E128" s="197">
        <v>2400</v>
      </c>
      <c r="F128" s="194"/>
      <c r="G128" s="197" t="s">
        <v>178</v>
      </c>
      <c r="H128" s="197"/>
      <c r="I128" s="197"/>
      <c r="J128" s="197">
        <f>E128</f>
        <v>2400</v>
      </c>
      <c r="K128" s="197"/>
      <c r="L128" s="197"/>
    </row>
    <row r="129" spans="1:12" ht="12.75" customHeight="1" x14ac:dyDescent="0.35">
      <c r="A129" s="191">
        <v>162</v>
      </c>
      <c r="B129" s="195" t="s">
        <v>313</v>
      </c>
      <c r="C129" s="201" t="s">
        <v>273</v>
      </c>
      <c r="D129" s="191" t="s">
        <v>269</v>
      </c>
      <c r="E129" s="197">
        <v>152.61000000000001</v>
      </c>
      <c r="F129" s="194"/>
      <c r="G129" s="197" t="s">
        <v>178</v>
      </c>
      <c r="H129" s="197"/>
      <c r="I129" s="197"/>
      <c r="J129" s="197"/>
      <c r="K129" s="197"/>
      <c r="L129" s="197">
        <f>E129</f>
        <v>152.61000000000001</v>
      </c>
    </row>
    <row r="130" spans="1:12" ht="13.5" customHeight="1" x14ac:dyDescent="0.35">
      <c r="A130" s="191">
        <v>168</v>
      </c>
      <c r="B130" s="195" t="s">
        <v>315</v>
      </c>
      <c r="C130" s="201" t="s">
        <v>238</v>
      </c>
      <c r="D130" s="191" t="s">
        <v>177</v>
      </c>
      <c r="E130" s="197">
        <v>55</v>
      </c>
      <c r="F130" s="194"/>
      <c r="G130" s="197" t="s">
        <v>178</v>
      </c>
      <c r="H130" s="197"/>
      <c r="I130" s="197"/>
      <c r="J130" s="197">
        <f t="shared" ref="J130:J136" si="2">E130</f>
        <v>55</v>
      </c>
      <c r="K130" s="197"/>
      <c r="L130" s="197"/>
    </row>
    <row r="131" spans="1:12" ht="13.5" customHeight="1" x14ac:dyDescent="0.35">
      <c r="A131" s="191">
        <v>169</v>
      </c>
      <c r="B131" s="195" t="s">
        <v>316</v>
      </c>
      <c r="C131" s="201" t="s">
        <v>286</v>
      </c>
      <c r="D131" s="191" t="s">
        <v>185</v>
      </c>
      <c r="E131" s="197">
        <v>68.989999999999995</v>
      </c>
      <c r="F131" s="194"/>
      <c r="G131" s="197" t="s">
        <v>178</v>
      </c>
      <c r="H131" s="197"/>
      <c r="I131" s="197"/>
      <c r="J131" s="197">
        <f t="shared" si="2"/>
        <v>68.989999999999995</v>
      </c>
      <c r="K131" s="197"/>
      <c r="L131" s="197"/>
    </row>
    <row r="132" spans="1:12" ht="13.5" customHeight="1" x14ac:dyDescent="0.35">
      <c r="A132" s="191">
        <v>172</v>
      </c>
      <c r="B132" s="195" t="s">
        <v>316</v>
      </c>
      <c r="C132" s="201" t="s">
        <v>317</v>
      </c>
      <c r="D132" s="191" t="s">
        <v>299</v>
      </c>
      <c r="E132" s="197">
        <v>529</v>
      </c>
      <c r="F132" s="203"/>
      <c r="G132" s="204" t="s">
        <v>178</v>
      </c>
      <c r="H132" s="204"/>
      <c r="I132" s="197"/>
      <c r="J132" s="197">
        <f t="shared" si="2"/>
        <v>529</v>
      </c>
      <c r="K132" s="197"/>
      <c r="L132" s="197"/>
    </row>
    <row r="133" spans="1:12" ht="13.5" customHeight="1" x14ac:dyDescent="0.35">
      <c r="A133" s="191">
        <v>173</v>
      </c>
      <c r="B133" s="195" t="s">
        <v>316</v>
      </c>
      <c r="C133" s="201" t="s">
        <v>318</v>
      </c>
      <c r="D133" s="191" t="s">
        <v>185</v>
      </c>
      <c r="E133" s="197">
        <v>60</v>
      </c>
      <c r="F133" s="194"/>
      <c r="G133" s="197" t="s">
        <v>178</v>
      </c>
      <c r="H133" s="197"/>
      <c r="I133" s="197"/>
      <c r="J133" s="197">
        <f t="shared" si="2"/>
        <v>60</v>
      </c>
      <c r="K133" s="197"/>
      <c r="L133" s="197"/>
    </row>
    <row r="134" spans="1:12" ht="13.5" customHeight="1" x14ac:dyDescent="0.35">
      <c r="A134" s="191">
        <v>174</v>
      </c>
      <c r="B134" s="195" t="s">
        <v>319</v>
      </c>
      <c r="C134" s="201" t="s">
        <v>276</v>
      </c>
      <c r="D134" s="191" t="s">
        <v>185</v>
      </c>
      <c r="E134" s="197">
        <v>12</v>
      </c>
      <c r="F134" s="194"/>
      <c r="G134" s="197" t="s">
        <v>178</v>
      </c>
      <c r="H134" s="197"/>
      <c r="I134" s="197"/>
      <c r="J134" s="197">
        <f t="shared" si="2"/>
        <v>12</v>
      </c>
      <c r="K134" s="197"/>
      <c r="L134" s="197"/>
    </row>
    <row r="135" spans="1:12" ht="13.5" customHeight="1" x14ac:dyDescent="0.35">
      <c r="A135" s="191">
        <v>175</v>
      </c>
      <c r="B135" s="195" t="s">
        <v>319</v>
      </c>
      <c r="C135" s="201" t="s">
        <v>320</v>
      </c>
      <c r="D135" s="191" t="s">
        <v>185</v>
      </c>
      <c r="E135" s="197">
        <v>39</v>
      </c>
      <c r="F135" s="194"/>
      <c r="G135" s="197" t="s">
        <v>178</v>
      </c>
      <c r="H135" s="197"/>
      <c r="I135" s="197"/>
      <c r="J135" s="197">
        <f t="shared" si="2"/>
        <v>39</v>
      </c>
      <c r="K135" s="197"/>
      <c r="L135" s="197"/>
    </row>
    <row r="136" spans="1:12" ht="13.5" customHeight="1" x14ac:dyDescent="0.35">
      <c r="A136" s="191">
        <v>176</v>
      </c>
      <c r="B136" s="195" t="s">
        <v>319</v>
      </c>
      <c r="C136" s="201" t="s">
        <v>265</v>
      </c>
      <c r="D136" s="191" t="s">
        <v>299</v>
      </c>
      <c r="E136" s="197">
        <v>290.5</v>
      </c>
      <c r="F136" s="203"/>
      <c r="G136" s="204" t="s">
        <v>178</v>
      </c>
      <c r="H136" s="204"/>
      <c r="I136" s="197"/>
      <c r="J136" s="197">
        <f t="shared" si="2"/>
        <v>290.5</v>
      </c>
      <c r="K136" s="197"/>
      <c r="L136" s="197"/>
    </row>
    <row r="137" spans="1:12" ht="13.5" customHeight="1" x14ac:dyDescent="0.35">
      <c r="A137" s="191">
        <v>177</v>
      </c>
      <c r="B137" s="195" t="s">
        <v>319</v>
      </c>
      <c r="C137" s="201" t="s">
        <v>321</v>
      </c>
      <c r="D137" s="191" t="s">
        <v>194</v>
      </c>
      <c r="E137" s="197">
        <v>500.15</v>
      </c>
      <c r="F137" s="194"/>
      <c r="G137" s="197" t="s">
        <v>178</v>
      </c>
      <c r="H137" s="197"/>
      <c r="I137" s="197"/>
      <c r="J137" s="197"/>
      <c r="K137" s="197"/>
      <c r="L137" s="197">
        <f>E137</f>
        <v>500.15</v>
      </c>
    </row>
    <row r="138" spans="1:12" ht="13.5" customHeight="1" x14ac:dyDescent="0.35">
      <c r="A138" s="191">
        <v>178</v>
      </c>
      <c r="B138" s="195" t="s">
        <v>319</v>
      </c>
      <c r="C138" s="201" t="s">
        <v>193</v>
      </c>
      <c r="D138" s="191" t="s">
        <v>194</v>
      </c>
      <c r="E138" s="197">
        <v>700</v>
      </c>
      <c r="F138" s="194"/>
      <c r="G138" s="197" t="s">
        <v>178</v>
      </c>
      <c r="H138" s="197"/>
      <c r="I138" s="197"/>
      <c r="J138" s="197"/>
      <c r="K138" s="197"/>
      <c r="L138" s="197">
        <f>E138</f>
        <v>700</v>
      </c>
    </row>
    <row r="139" spans="1:12" ht="13.5" customHeight="1" x14ac:dyDescent="0.35">
      <c r="A139" s="191">
        <v>180</v>
      </c>
      <c r="B139" s="195" t="s">
        <v>322</v>
      </c>
      <c r="C139" s="201" t="s">
        <v>222</v>
      </c>
      <c r="D139" s="191" t="s">
        <v>177</v>
      </c>
      <c r="E139" s="197">
        <v>55</v>
      </c>
      <c r="F139" s="194"/>
      <c r="G139" s="197" t="s">
        <v>178</v>
      </c>
      <c r="H139" s="197"/>
      <c r="I139" s="197"/>
      <c r="J139" s="197">
        <f>E139</f>
        <v>55</v>
      </c>
      <c r="K139" s="197"/>
      <c r="L139" s="197"/>
    </row>
    <row r="140" spans="1:12" ht="13.5" customHeight="1" x14ac:dyDescent="0.35">
      <c r="A140" s="191">
        <v>182</v>
      </c>
      <c r="B140" s="195" t="s">
        <v>322</v>
      </c>
      <c r="C140" s="201" t="s">
        <v>229</v>
      </c>
      <c r="D140" s="191" t="s">
        <v>241</v>
      </c>
      <c r="E140" s="197">
        <v>200</v>
      </c>
      <c r="F140" s="194"/>
      <c r="G140" s="197" t="s">
        <v>178</v>
      </c>
      <c r="H140" s="197"/>
      <c r="I140" s="197"/>
      <c r="J140" s="197">
        <f>E140</f>
        <v>200</v>
      </c>
      <c r="K140" s="197"/>
      <c r="L140" s="197"/>
    </row>
    <row r="141" spans="1:12" ht="13.5" customHeight="1" x14ac:dyDescent="0.35">
      <c r="A141" s="191">
        <v>183</v>
      </c>
      <c r="B141" s="195" t="s">
        <v>322</v>
      </c>
      <c r="C141" s="201" t="s">
        <v>222</v>
      </c>
      <c r="D141" s="191" t="s">
        <v>177</v>
      </c>
      <c r="E141" s="197">
        <v>55</v>
      </c>
      <c r="F141" s="194"/>
      <c r="G141" s="197" t="s">
        <v>178</v>
      </c>
      <c r="H141" s="197"/>
      <c r="I141" s="197"/>
      <c r="J141" s="197">
        <f>E141</f>
        <v>55</v>
      </c>
      <c r="K141" s="197"/>
      <c r="L141" s="197"/>
    </row>
    <row r="142" spans="1:12" ht="13.5" customHeight="1" x14ac:dyDescent="0.35">
      <c r="A142" s="191">
        <v>184</v>
      </c>
      <c r="B142" s="195" t="s">
        <v>322</v>
      </c>
      <c r="C142" s="201" t="s">
        <v>290</v>
      </c>
      <c r="D142" s="191" t="s">
        <v>323</v>
      </c>
      <c r="E142" s="197">
        <v>52.99</v>
      </c>
      <c r="F142" s="194"/>
      <c r="G142" s="197" t="s">
        <v>178</v>
      </c>
      <c r="H142" s="197"/>
      <c r="I142" s="197"/>
      <c r="J142" s="197">
        <f>E142</f>
        <v>52.99</v>
      </c>
      <c r="K142" s="197"/>
      <c r="L142" s="197"/>
    </row>
    <row r="143" spans="1:12" ht="13.5" customHeight="1" x14ac:dyDescent="0.35">
      <c r="A143" s="191">
        <v>185</v>
      </c>
      <c r="B143" s="195" t="s">
        <v>322</v>
      </c>
      <c r="C143" s="201" t="s">
        <v>324</v>
      </c>
      <c r="D143" s="191" t="s">
        <v>207</v>
      </c>
      <c r="E143" s="197">
        <v>500</v>
      </c>
      <c r="F143" s="194"/>
      <c r="G143" s="197" t="s">
        <v>178</v>
      </c>
      <c r="H143" s="197"/>
      <c r="I143" s="197"/>
      <c r="J143" s="197"/>
      <c r="K143" s="197"/>
      <c r="L143" s="197">
        <f>E143</f>
        <v>500</v>
      </c>
    </row>
    <row r="144" spans="1:12" ht="13.5" customHeight="1" x14ac:dyDescent="0.35">
      <c r="A144" s="191">
        <v>187</v>
      </c>
      <c r="B144" s="195" t="s">
        <v>325</v>
      </c>
      <c r="C144" s="201" t="s">
        <v>281</v>
      </c>
      <c r="D144" s="191" t="s">
        <v>326</v>
      </c>
      <c r="E144" s="197">
        <v>67.63</v>
      </c>
      <c r="F144" s="203"/>
      <c r="G144" s="204" t="s">
        <v>178</v>
      </c>
      <c r="H144" s="204"/>
      <c r="I144" s="197"/>
      <c r="J144" s="197">
        <f>E144</f>
        <v>67.63</v>
      </c>
      <c r="K144" s="197"/>
      <c r="L144" s="197"/>
    </row>
    <row r="145" spans="1:12" ht="13.5" customHeight="1" x14ac:dyDescent="0.35">
      <c r="A145" s="191">
        <v>188</v>
      </c>
      <c r="B145" s="195" t="s">
        <v>325</v>
      </c>
      <c r="C145" s="201" t="s">
        <v>327</v>
      </c>
      <c r="D145" s="191" t="s">
        <v>194</v>
      </c>
      <c r="E145" s="197">
        <v>500</v>
      </c>
      <c r="F145" s="194"/>
      <c r="G145" s="197" t="s">
        <v>178</v>
      </c>
      <c r="H145" s="197"/>
      <c r="I145" s="197"/>
      <c r="J145" s="197"/>
      <c r="K145" s="197"/>
      <c r="L145" s="197">
        <f>E145</f>
        <v>500</v>
      </c>
    </row>
    <row r="146" spans="1:12" ht="13.5" customHeight="1" x14ac:dyDescent="0.35">
      <c r="A146" s="191">
        <v>189</v>
      </c>
      <c r="B146" s="195" t="s">
        <v>328</v>
      </c>
      <c r="C146" s="201" t="s">
        <v>329</v>
      </c>
      <c r="D146" s="191" t="s">
        <v>330</v>
      </c>
      <c r="E146" s="197">
        <v>800</v>
      </c>
      <c r="F146" s="203"/>
      <c r="G146" s="204" t="s">
        <v>178</v>
      </c>
      <c r="H146" s="204"/>
      <c r="I146" s="197">
        <f>E146</f>
        <v>800</v>
      </c>
      <c r="J146" s="197"/>
      <c r="K146" s="197"/>
      <c r="L146" s="197"/>
    </row>
    <row r="147" spans="1:12" ht="13.5" customHeight="1" x14ac:dyDescent="0.35">
      <c r="A147" s="191">
        <v>190</v>
      </c>
      <c r="B147" s="195" t="s">
        <v>328</v>
      </c>
      <c r="C147" s="201" t="s">
        <v>331</v>
      </c>
      <c r="D147" s="191" t="s">
        <v>330</v>
      </c>
      <c r="E147" s="197">
        <v>420</v>
      </c>
      <c r="F147" s="203"/>
      <c r="G147" s="204" t="s">
        <v>178</v>
      </c>
      <c r="H147" s="204"/>
      <c r="I147" s="197">
        <f>E147</f>
        <v>420</v>
      </c>
      <c r="J147" s="197"/>
      <c r="K147" s="197"/>
      <c r="L147" s="197"/>
    </row>
    <row r="148" spans="1:12" ht="13.5" customHeight="1" x14ac:dyDescent="0.35">
      <c r="A148" s="191">
        <v>191</v>
      </c>
      <c r="B148" s="195" t="s">
        <v>328</v>
      </c>
      <c r="C148" s="201" t="s">
        <v>229</v>
      </c>
      <c r="D148" s="191" t="s">
        <v>241</v>
      </c>
      <c r="E148" s="197">
        <v>200</v>
      </c>
      <c r="F148" s="194"/>
      <c r="G148" s="197" t="s">
        <v>178</v>
      </c>
      <c r="H148" s="197"/>
      <c r="I148" s="197"/>
      <c r="J148" s="197">
        <f>E148</f>
        <v>200</v>
      </c>
      <c r="K148" s="197"/>
      <c r="L148" s="197"/>
    </row>
    <row r="149" spans="1:12" ht="13.5" customHeight="1" x14ac:dyDescent="0.35">
      <c r="A149" s="191">
        <v>192</v>
      </c>
      <c r="B149" s="195" t="s">
        <v>332</v>
      </c>
      <c r="C149" s="201" t="s">
        <v>333</v>
      </c>
      <c r="D149" s="191" t="s">
        <v>253</v>
      </c>
      <c r="E149" s="197">
        <v>549</v>
      </c>
      <c r="F149" s="194"/>
      <c r="G149" s="197" t="s">
        <v>178</v>
      </c>
      <c r="H149" s="197"/>
      <c r="I149" s="197"/>
      <c r="J149" s="197">
        <f>E149</f>
        <v>549</v>
      </c>
      <c r="K149" s="197"/>
      <c r="L149" s="197"/>
    </row>
    <row r="150" spans="1:12" ht="13.5" customHeight="1" x14ac:dyDescent="0.35">
      <c r="A150" s="191">
        <v>193</v>
      </c>
      <c r="B150" s="195" t="s">
        <v>334</v>
      </c>
      <c r="C150" s="201" t="s">
        <v>335</v>
      </c>
      <c r="D150" s="191" t="s">
        <v>336</v>
      </c>
      <c r="E150" s="197">
        <v>700</v>
      </c>
      <c r="F150" s="194"/>
      <c r="G150" s="197" t="s">
        <v>178</v>
      </c>
      <c r="H150" s="197"/>
      <c r="I150" s="197"/>
      <c r="J150" s="197">
        <f>E150</f>
        <v>700</v>
      </c>
      <c r="K150" s="197"/>
      <c r="L150" s="197"/>
    </row>
    <row r="151" spans="1:12" ht="13.5" customHeight="1" x14ac:dyDescent="0.35">
      <c r="A151" s="191">
        <v>194</v>
      </c>
      <c r="B151" s="195" t="s">
        <v>334</v>
      </c>
      <c r="C151" s="201" t="s">
        <v>183</v>
      </c>
      <c r="D151" s="191" t="s">
        <v>337</v>
      </c>
      <c r="E151" s="197">
        <v>109.99</v>
      </c>
      <c r="F151" s="194"/>
      <c r="G151" s="197" t="s">
        <v>178</v>
      </c>
      <c r="H151" s="197"/>
      <c r="I151" s="197"/>
      <c r="J151" s="197"/>
      <c r="K151" s="197"/>
      <c r="L151" s="197">
        <f>E151</f>
        <v>109.99</v>
      </c>
    </row>
    <row r="152" spans="1:12" ht="13.5" customHeight="1" x14ac:dyDescent="0.35">
      <c r="A152" s="191">
        <v>195</v>
      </c>
      <c r="B152" s="195" t="s">
        <v>334</v>
      </c>
      <c r="C152" s="201" t="s">
        <v>277</v>
      </c>
      <c r="D152" s="191" t="s">
        <v>194</v>
      </c>
      <c r="E152" s="197">
        <v>700</v>
      </c>
      <c r="F152" s="194"/>
      <c r="G152" s="197" t="s">
        <v>178</v>
      </c>
      <c r="H152" s="197"/>
      <c r="I152" s="197"/>
      <c r="J152" s="197"/>
      <c r="K152" s="197">
        <f>E152</f>
        <v>700</v>
      </c>
      <c r="L152" s="197"/>
    </row>
    <row r="153" spans="1:12" ht="13.5" customHeight="1" x14ac:dyDescent="0.35">
      <c r="A153" s="191">
        <v>196</v>
      </c>
      <c r="B153" s="195" t="s">
        <v>338</v>
      </c>
      <c r="C153" s="201" t="s">
        <v>229</v>
      </c>
      <c r="D153" s="191" t="s">
        <v>241</v>
      </c>
      <c r="E153" s="197">
        <v>200</v>
      </c>
      <c r="F153" s="194"/>
      <c r="G153" s="197" t="s">
        <v>178</v>
      </c>
      <c r="H153" s="197"/>
      <c r="I153" s="197"/>
      <c r="J153" s="197">
        <f>E153</f>
        <v>200</v>
      </c>
      <c r="K153" s="197"/>
      <c r="L153" s="197"/>
    </row>
    <row r="154" spans="1:12" ht="13.5" customHeight="1" x14ac:dyDescent="0.35">
      <c r="A154" s="191">
        <v>197</v>
      </c>
      <c r="B154" s="195" t="s">
        <v>338</v>
      </c>
      <c r="C154" s="201" t="s">
        <v>339</v>
      </c>
      <c r="D154" s="191" t="s">
        <v>179</v>
      </c>
      <c r="E154" s="197">
        <v>13000</v>
      </c>
      <c r="F154" s="205"/>
      <c r="G154" s="204" t="s">
        <v>178</v>
      </c>
      <c r="H154" s="204">
        <f>E154</f>
        <v>13000</v>
      </c>
      <c r="I154" s="197"/>
      <c r="J154" s="197"/>
      <c r="K154" s="197"/>
      <c r="L154" s="197"/>
    </row>
    <row r="155" spans="1:12" ht="13.5" customHeight="1" x14ac:dyDescent="0.35">
      <c r="A155" s="191">
        <v>198</v>
      </c>
      <c r="B155" s="195" t="s">
        <v>338</v>
      </c>
      <c r="C155" s="201" t="s">
        <v>206</v>
      </c>
      <c r="D155" s="191" t="s">
        <v>207</v>
      </c>
      <c r="E155" s="197">
        <v>1300</v>
      </c>
      <c r="F155" s="194"/>
      <c r="G155" s="197" t="s">
        <v>178</v>
      </c>
      <c r="H155" s="197"/>
      <c r="I155" s="197"/>
      <c r="J155" s="197"/>
      <c r="K155" s="197"/>
      <c r="L155" s="197">
        <f>E155</f>
        <v>1300</v>
      </c>
    </row>
    <row r="156" spans="1:12" ht="13.5" customHeight="1" x14ac:dyDescent="0.35">
      <c r="A156" s="191">
        <v>199</v>
      </c>
      <c r="B156" s="195" t="s">
        <v>338</v>
      </c>
      <c r="C156" s="201" t="s">
        <v>222</v>
      </c>
      <c r="D156" s="191" t="s">
        <v>177</v>
      </c>
      <c r="E156" s="197">
        <v>70</v>
      </c>
      <c r="F156" s="194"/>
      <c r="G156" s="197" t="s">
        <v>178</v>
      </c>
      <c r="H156" s="197"/>
      <c r="I156" s="197"/>
      <c r="J156" s="197">
        <f>E156</f>
        <v>70</v>
      </c>
      <c r="K156" s="197"/>
      <c r="L156" s="197"/>
    </row>
    <row r="157" spans="1:12" ht="13.5" customHeight="1" x14ac:dyDescent="0.35">
      <c r="A157" s="191">
        <v>200</v>
      </c>
      <c r="B157" s="195" t="s">
        <v>338</v>
      </c>
      <c r="C157" s="201" t="s">
        <v>341</v>
      </c>
      <c r="D157" s="191" t="s">
        <v>266</v>
      </c>
      <c r="E157" s="197">
        <v>450</v>
      </c>
      <c r="F157" s="203"/>
      <c r="G157" s="204"/>
      <c r="H157" s="204"/>
      <c r="I157" s="197"/>
      <c r="J157" s="197">
        <f>E157</f>
        <v>450</v>
      </c>
      <c r="K157" s="197"/>
      <c r="L157" s="197"/>
    </row>
    <row r="158" spans="1:12" ht="13.5" customHeight="1" x14ac:dyDescent="0.35">
      <c r="A158" s="191">
        <v>201</v>
      </c>
      <c r="B158" s="195" t="s">
        <v>342</v>
      </c>
      <c r="C158" s="201" t="s">
        <v>343</v>
      </c>
      <c r="D158" s="191" t="s">
        <v>207</v>
      </c>
      <c r="E158" s="197">
        <v>1300</v>
      </c>
      <c r="F158" s="194"/>
      <c r="G158" s="197" t="s">
        <v>178</v>
      </c>
      <c r="H158" s="197"/>
      <c r="I158" s="197"/>
      <c r="J158" s="197"/>
      <c r="K158" s="197">
        <f>E158</f>
        <v>1300</v>
      </c>
      <c r="L158" s="197"/>
    </row>
    <row r="159" spans="1:12" ht="13.5" customHeight="1" x14ac:dyDescent="0.35">
      <c r="A159" s="191">
        <v>202</v>
      </c>
      <c r="B159" s="195" t="s">
        <v>342</v>
      </c>
      <c r="C159" s="201" t="s">
        <v>344</v>
      </c>
      <c r="D159" s="191" t="s">
        <v>212</v>
      </c>
      <c r="E159" s="197">
        <v>315</v>
      </c>
      <c r="F159" s="194"/>
      <c r="G159" s="197" t="s">
        <v>178</v>
      </c>
      <c r="H159" s="197"/>
      <c r="I159" s="197"/>
      <c r="J159" s="197">
        <f t="shared" ref="J159:J164" si="3">E159</f>
        <v>315</v>
      </c>
      <c r="K159" s="197"/>
      <c r="L159" s="197"/>
    </row>
    <row r="160" spans="1:12" ht="13.5" customHeight="1" x14ac:dyDescent="0.35">
      <c r="A160" s="191">
        <v>203</v>
      </c>
      <c r="B160" s="195" t="s">
        <v>342</v>
      </c>
      <c r="C160" s="201" t="s">
        <v>345</v>
      </c>
      <c r="D160" s="191" t="s">
        <v>266</v>
      </c>
      <c r="E160" s="197">
        <v>225</v>
      </c>
      <c r="F160" s="203"/>
      <c r="G160" s="204"/>
      <c r="H160" s="204"/>
      <c r="I160" s="197"/>
      <c r="J160" s="197">
        <f t="shared" si="3"/>
        <v>225</v>
      </c>
      <c r="K160" s="197"/>
      <c r="L160" s="197"/>
    </row>
    <row r="161" spans="1:12" ht="13.5" customHeight="1" x14ac:dyDescent="0.35">
      <c r="A161" s="191">
        <v>205</v>
      </c>
      <c r="B161" s="195" t="s">
        <v>342</v>
      </c>
      <c r="C161" s="201" t="s">
        <v>298</v>
      </c>
      <c r="D161" s="191" t="s">
        <v>266</v>
      </c>
      <c r="E161" s="197">
        <v>347.5</v>
      </c>
      <c r="F161" s="203"/>
      <c r="G161" s="204"/>
      <c r="H161" s="204"/>
      <c r="I161" s="197"/>
      <c r="J161" s="197">
        <f t="shared" si="3"/>
        <v>347.5</v>
      </c>
      <c r="K161" s="197"/>
      <c r="L161" s="197"/>
    </row>
    <row r="162" spans="1:12" ht="13.5" customHeight="1" x14ac:dyDescent="0.35">
      <c r="A162" s="191">
        <v>206</v>
      </c>
      <c r="B162" s="195" t="s">
        <v>342</v>
      </c>
      <c r="C162" s="201" t="s">
        <v>346</v>
      </c>
      <c r="D162" s="191" t="s">
        <v>266</v>
      </c>
      <c r="E162" s="197">
        <v>109.99</v>
      </c>
      <c r="F162" s="203"/>
      <c r="G162" s="204"/>
      <c r="H162" s="204"/>
      <c r="I162" s="197"/>
      <c r="J162" s="197">
        <f t="shared" si="3"/>
        <v>109.99</v>
      </c>
      <c r="K162" s="197"/>
      <c r="L162" s="197"/>
    </row>
    <row r="163" spans="1:12" ht="13.5" customHeight="1" x14ac:dyDescent="0.35">
      <c r="A163" s="191">
        <v>208</v>
      </c>
      <c r="B163" s="195" t="s">
        <v>347</v>
      </c>
      <c r="C163" s="201" t="s">
        <v>317</v>
      </c>
      <c r="D163" s="191" t="s">
        <v>266</v>
      </c>
      <c r="E163" s="197">
        <v>191.3</v>
      </c>
      <c r="F163" s="203"/>
      <c r="G163" s="204"/>
      <c r="H163" s="204"/>
      <c r="I163" s="197"/>
      <c r="J163" s="197">
        <f t="shared" si="3"/>
        <v>191.3</v>
      </c>
      <c r="K163" s="197"/>
      <c r="L163" s="197"/>
    </row>
    <row r="164" spans="1:12" ht="13.5" customHeight="1" x14ac:dyDescent="0.35">
      <c r="A164" s="191">
        <v>209</v>
      </c>
      <c r="B164" s="195" t="s">
        <v>348</v>
      </c>
      <c r="C164" s="201" t="s">
        <v>273</v>
      </c>
      <c r="D164" s="191" t="s">
        <v>185</v>
      </c>
      <c r="E164" s="197">
        <v>120.34</v>
      </c>
      <c r="F164" s="194"/>
      <c r="G164" s="197" t="s">
        <v>178</v>
      </c>
      <c r="H164" s="197"/>
      <c r="I164" s="197"/>
      <c r="J164" s="197">
        <f t="shared" si="3"/>
        <v>120.34</v>
      </c>
      <c r="K164" s="197"/>
      <c r="L164" s="197"/>
    </row>
    <row r="165" spans="1:12" ht="13.5" customHeight="1" x14ac:dyDescent="0.35">
      <c r="A165" s="191">
        <v>210</v>
      </c>
      <c r="B165" s="195" t="s">
        <v>348</v>
      </c>
      <c r="C165" s="201" t="s">
        <v>349</v>
      </c>
      <c r="D165" s="191" t="s">
        <v>226</v>
      </c>
      <c r="E165" s="197">
        <v>658.28</v>
      </c>
      <c r="F165" s="194"/>
      <c r="G165" s="197" t="s">
        <v>178</v>
      </c>
      <c r="H165" s="197"/>
      <c r="I165" s="197"/>
      <c r="J165" s="197"/>
      <c r="K165" s="197">
        <f>E165</f>
        <v>658.28</v>
      </c>
      <c r="L165" s="197"/>
    </row>
    <row r="166" spans="1:12" ht="13.5" customHeight="1" x14ac:dyDescent="0.35">
      <c r="A166" s="191">
        <v>211</v>
      </c>
      <c r="B166" s="195" t="s">
        <v>350</v>
      </c>
      <c r="C166" s="201" t="s">
        <v>223</v>
      </c>
      <c r="D166" s="191" t="s">
        <v>207</v>
      </c>
      <c r="E166" s="197">
        <v>500</v>
      </c>
      <c r="F166" s="194"/>
      <c r="G166" s="197" t="s">
        <v>178</v>
      </c>
      <c r="H166" s="197"/>
      <c r="I166" s="197"/>
      <c r="J166" s="197"/>
      <c r="K166" s="197">
        <f>E166</f>
        <v>500</v>
      </c>
      <c r="L166" s="197"/>
    </row>
    <row r="167" spans="1:12" ht="13.5" customHeight="1" x14ac:dyDescent="0.35">
      <c r="A167" s="191">
        <v>213</v>
      </c>
      <c r="B167" s="195" t="s">
        <v>351</v>
      </c>
      <c r="C167" s="201" t="s">
        <v>352</v>
      </c>
      <c r="D167" s="191" t="s">
        <v>226</v>
      </c>
      <c r="E167" s="197">
        <v>476.45</v>
      </c>
      <c r="F167" s="194"/>
      <c r="G167" s="197" t="s">
        <v>178</v>
      </c>
      <c r="H167" s="197"/>
      <c r="I167" s="197"/>
      <c r="J167" s="197"/>
      <c r="K167" s="197">
        <f>E167</f>
        <v>476.45</v>
      </c>
      <c r="L167" s="197"/>
    </row>
    <row r="168" spans="1:12" ht="13.5" customHeight="1" x14ac:dyDescent="0.35">
      <c r="A168" s="191">
        <v>214</v>
      </c>
      <c r="B168" s="195" t="s">
        <v>353</v>
      </c>
      <c r="C168" s="201" t="s">
        <v>229</v>
      </c>
      <c r="D168" s="191" t="s">
        <v>241</v>
      </c>
      <c r="E168" s="197">
        <v>200</v>
      </c>
      <c r="F168" s="194"/>
      <c r="G168" s="197" t="s">
        <v>178</v>
      </c>
      <c r="H168" s="197"/>
      <c r="I168" s="197"/>
      <c r="J168" s="197">
        <f t="shared" ref="J168:J173" si="4">E168</f>
        <v>200</v>
      </c>
      <c r="K168" s="197"/>
      <c r="L168" s="197"/>
    </row>
    <row r="169" spans="1:12" ht="13.5" customHeight="1" x14ac:dyDescent="0.35">
      <c r="A169" s="191">
        <v>217</v>
      </c>
      <c r="B169" s="195" t="s">
        <v>354</v>
      </c>
      <c r="C169" s="201" t="s">
        <v>355</v>
      </c>
      <c r="D169" s="191" t="s">
        <v>185</v>
      </c>
      <c r="E169" s="197">
        <v>32.4</v>
      </c>
      <c r="F169" s="194"/>
      <c r="G169" s="197" t="s">
        <v>178</v>
      </c>
      <c r="H169" s="197"/>
      <c r="I169" s="197"/>
      <c r="J169" s="197">
        <f t="shared" si="4"/>
        <v>32.4</v>
      </c>
      <c r="K169" s="197"/>
      <c r="L169" s="197"/>
    </row>
    <row r="170" spans="1:12" ht="13.5" customHeight="1" x14ac:dyDescent="0.35">
      <c r="A170" s="191">
        <v>218</v>
      </c>
      <c r="B170" s="195" t="s">
        <v>354</v>
      </c>
      <c r="C170" s="201" t="s">
        <v>356</v>
      </c>
      <c r="D170" s="191" t="s">
        <v>185</v>
      </c>
      <c r="E170" s="197">
        <v>200</v>
      </c>
      <c r="F170" s="194"/>
      <c r="G170" s="197" t="s">
        <v>178</v>
      </c>
      <c r="H170" s="197"/>
      <c r="I170" s="197"/>
      <c r="J170" s="197">
        <f t="shared" si="4"/>
        <v>200</v>
      </c>
      <c r="K170" s="197"/>
      <c r="L170" s="197"/>
    </row>
    <row r="171" spans="1:12" ht="13.5" customHeight="1" x14ac:dyDescent="0.35">
      <c r="A171" s="191">
        <v>219</v>
      </c>
      <c r="B171" s="195" t="s">
        <v>354</v>
      </c>
      <c r="C171" s="201" t="s">
        <v>357</v>
      </c>
      <c r="D171" s="191" t="s">
        <v>177</v>
      </c>
      <c r="E171" s="197">
        <v>663</v>
      </c>
      <c r="F171" s="194"/>
      <c r="G171" s="197" t="s">
        <v>178</v>
      </c>
      <c r="H171" s="197"/>
      <c r="I171" s="197"/>
      <c r="J171" s="197">
        <f t="shared" si="4"/>
        <v>663</v>
      </c>
      <c r="K171" s="197"/>
      <c r="L171" s="197"/>
    </row>
    <row r="172" spans="1:12" ht="13.5" customHeight="1" x14ac:dyDescent="0.35">
      <c r="A172" s="191">
        <v>220</v>
      </c>
      <c r="B172" s="195" t="s">
        <v>358</v>
      </c>
      <c r="C172" s="201" t="s">
        <v>257</v>
      </c>
      <c r="D172" s="191" t="s">
        <v>185</v>
      </c>
      <c r="E172" s="197">
        <v>22</v>
      </c>
      <c r="F172" s="194"/>
      <c r="G172" s="197" t="s">
        <v>178</v>
      </c>
      <c r="H172" s="197"/>
      <c r="I172" s="197"/>
      <c r="J172" s="197">
        <f t="shared" si="4"/>
        <v>22</v>
      </c>
      <c r="K172" s="197"/>
      <c r="L172" s="197"/>
    </row>
    <row r="173" spans="1:12" ht="13.5" customHeight="1" thickBot="1" x14ac:dyDescent="0.4">
      <c r="A173" s="206">
        <v>221</v>
      </c>
      <c r="B173" s="207" t="s">
        <v>358</v>
      </c>
      <c r="C173" s="208" t="s">
        <v>265</v>
      </c>
      <c r="D173" s="206" t="s">
        <v>299</v>
      </c>
      <c r="E173" s="209">
        <v>280.35000000000002</v>
      </c>
      <c r="F173" s="199"/>
      <c r="G173" s="197"/>
      <c r="H173" s="209"/>
      <c r="I173" s="209"/>
      <c r="J173" s="209">
        <f t="shared" si="4"/>
        <v>280.35000000000002</v>
      </c>
      <c r="K173" s="209"/>
      <c r="L173" s="209"/>
    </row>
    <row r="174" spans="1:12" ht="13.5" customHeight="1" x14ac:dyDescent="0.35">
      <c r="A174" s="370" t="s">
        <v>8</v>
      </c>
      <c r="B174" s="371"/>
      <c r="C174" s="371"/>
      <c r="D174" s="372"/>
      <c r="E174" s="376">
        <f>SUM(E1:E173)</f>
        <v>283825.38999999996</v>
      </c>
      <c r="F174" s="210"/>
      <c r="G174" s="210"/>
      <c r="H174" s="378">
        <f>SUM(H1:H173)</f>
        <v>74000</v>
      </c>
      <c r="I174" s="376">
        <f>SUM(I1:I173)</f>
        <v>2717.69</v>
      </c>
      <c r="J174" s="376">
        <f>SUM(J1:J173)</f>
        <v>30887.870000000006</v>
      </c>
      <c r="K174" s="376">
        <f>SUM(K1:K173)</f>
        <v>136039.00000000003</v>
      </c>
      <c r="L174" s="376">
        <f>SUM(L1:L173)</f>
        <v>40180.83</v>
      </c>
    </row>
    <row r="175" spans="1:12" ht="13.5" customHeight="1" thickBot="1" x14ac:dyDescent="0.4">
      <c r="A175" s="373"/>
      <c r="B175" s="374"/>
      <c r="C175" s="374"/>
      <c r="D175" s="375"/>
      <c r="E175" s="377"/>
      <c r="F175" s="211"/>
      <c r="G175" s="211"/>
      <c r="H175" s="379"/>
      <c r="I175" s="377"/>
      <c r="J175" s="377"/>
      <c r="K175" s="377"/>
      <c r="L175" s="377"/>
    </row>
    <row r="176" spans="1:12" ht="15" customHeight="1" thickTop="1" x14ac:dyDescent="0.35"/>
  </sheetData>
  <mergeCells count="9">
    <mergeCell ref="B2:G2"/>
    <mergeCell ref="K2:L2"/>
    <mergeCell ref="A174:D175"/>
    <mergeCell ref="E174:E175"/>
    <mergeCell ref="H174:H175"/>
    <mergeCell ref="I174:I175"/>
    <mergeCell ref="J174:J175"/>
    <mergeCell ref="K174:K175"/>
    <mergeCell ref="L174:L175"/>
  </mergeCells>
  <hyperlinks>
    <hyperlink ref="B1" r:id="rId1" xr:uid="{00000000-0004-0000-0100-000000000000}"/>
    <hyperlink ref="C12" r:id="rId2" xr:uid="{00000000-0004-0000-0100-000004000000}"/>
    <hyperlink ref="G5" r:id="rId3" xr:uid="{5B5A1DB6-B0A5-482B-98C0-3C8A013E3ED0}"/>
  </hyperlinks>
  <pageMargins left="0.7" right="0.7" top="0.75" bottom="0.75" header="0.3" footer="0.3"/>
  <pageSetup paperSize="8" scale="65" fitToHeight="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85"/>
  <sheetViews>
    <sheetView topLeftCell="A56" workbookViewId="0">
      <selection activeCell="E2" sqref="E2"/>
    </sheetView>
  </sheetViews>
  <sheetFormatPr defaultColWidth="14.453125" defaultRowHeight="15" customHeight="1" x14ac:dyDescent="0.35"/>
  <cols>
    <col min="1" max="1" width="43" customWidth="1"/>
    <col min="2" max="5" width="17.453125" customWidth="1"/>
    <col min="6" max="6" width="27.7265625" customWidth="1"/>
    <col min="7" max="7" width="26.81640625" customWidth="1"/>
    <col min="8" max="26" width="9.1796875" customWidth="1"/>
  </cols>
  <sheetData>
    <row r="1" spans="1:26" ht="14.25" customHeight="1" x14ac:dyDescent="0.35">
      <c r="A1" s="391" t="s">
        <v>359</v>
      </c>
      <c r="B1" s="387"/>
      <c r="C1" s="387"/>
      <c r="D1" s="387"/>
      <c r="E1" s="387"/>
      <c r="F1" s="387"/>
      <c r="G1" s="388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4.25" customHeight="1" x14ac:dyDescent="0.35">
      <c r="A2" s="392" t="s">
        <v>360</v>
      </c>
      <c r="B2" s="393"/>
      <c r="C2" s="393"/>
      <c r="D2" s="394"/>
      <c r="E2" s="125"/>
      <c r="F2" s="125"/>
      <c r="G2" s="126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4.25" customHeight="1" x14ac:dyDescent="0.35">
      <c r="A3" s="386" t="s">
        <v>361</v>
      </c>
      <c r="B3" s="387"/>
      <c r="C3" s="387"/>
      <c r="D3" s="388"/>
      <c r="E3" s="137" t="s">
        <v>362</v>
      </c>
      <c r="F3" s="125"/>
      <c r="G3" s="126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4.25" customHeight="1" x14ac:dyDescent="0.35">
      <c r="A4" s="395" t="s">
        <v>363</v>
      </c>
      <c r="B4" s="387"/>
      <c r="C4" s="387"/>
      <c r="D4" s="388"/>
      <c r="E4" s="127"/>
      <c r="F4" s="125"/>
      <c r="G4" s="126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4.25" customHeight="1" x14ac:dyDescent="0.35">
      <c r="A5" s="386" t="s">
        <v>364</v>
      </c>
      <c r="B5" s="387"/>
      <c r="C5" s="387"/>
      <c r="D5" s="388"/>
      <c r="E5" s="127"/>
      <c r="F5" s="125"/>
      <c r="G5" s="126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4.25" customHeight="1" x14ac:dyDescent="0.35">
      <c r="A6" s="386" t="s">
        <v>365</v>
      </c>
      <c r="B6" s="387"/>
      <c r="C6" s="387"/>
      <c r="D6" s="388"/>
      <c r="E6" s="128"/>
      <c r="F6" s="129"/>
      <c r="G6" s="130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32.25" customHeight="1" x14ac:dyDescent="0.35">
      <c r="A7" s="389" t="s">
        <v>455</v>
      </c>
      <c r="B7" s="387"/>
      <c r="C7" s="387"/>
      <c r="D7" s="387"/>
      <c r="E7" s="387"/>
      <c r="F7" s="388"/>
      <c r="G7" s="131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4.25" customHeight="1" x14ac:dyDescent="0.35">
      <c r="A8" s="135"/>
      <c r="B8" s="132" t="s">
        <v>366</v>
      </c>
      <c r="C8" s="132" t="s">
        <v>367</v>
      </c>
      <c r="D8" s="132" t="s">
        <v>368</v>
      </c>
      <c r="E8" s="133" t="s">
        <v>369</v>
      </c>
      <c r="F8" s="134" t="s">
        <v>370</v>
      </c>
      <c r="G8" s="134" t="s">
        <v>371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22.5" customHeight="1" x14ac:dyDescent="0.35">
      <c r="A9" s="138" t="s">
        <v>372</v>
      </c>
      <c r="B9" s="139"/>
      <c r="C9" s="139"/>
      <c r="D9" s="140" t="s">
        <v>373</v>
      </c>
      <c r="E9" s="141" t="s">
        <v>374</v>
      </c>
      <c r="F9" s="142" t="s">
        <v>375</v>
      </c>
      <c r="G9" s="142" t="s">
        <v>376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42" x14ac:dyDescent="0.35">
      <c r="A10" s="143" t="s">
        <v>456</v>
      </c>
      <c r="B10" s="144">
        <v>0</v>
      </c>
      <c r="C10" s="144"/>
      <c r="D10" s="144"/>
      <c r="E10" s="145"/>
      <c r="F10" s="146"/>
      <c r="G10" s="118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4.25" customHeight="1" x14ac:dyDescent="0.35">
      <c r="A11" s="147" t="s">
        <v>377</v>
      </c>
      <c r="B11" s="148">
        <v>924000</v>
      </c>
      <c r="C11" s="148">
        <f>C16</f>
        <v>283825.39</v>
      </c>
      <c r="D11" s="148">
        <f>B11-C11</f>
        <v>640174.61</v>
      </c>
      <c r="E11" s="149">
        <f>D11/B11</f>
        <v>0.69282966450216443</v>
      </c>
      <c r="F11" s="150" t="s">
        <v>471</v>
      </c>
      <c r="G11" s="258" t="s">
        <v>340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4.25" customHeight="1" x14ac:dyDescent="0.35">
      <c r="A12" s="143" t="s">
        <v>378</v>
      </c>
      <c r="B12" s="144">
        <v>0</v>
      </c>
      <c r="C12" s="144">
        <v>0</v>
      </c>
      <c r="D12" s="144">
        <f t="shared" ref="D12:D15" si="0">C12-B12</f>
        <v>0</v>
      </c>
      <c r="E12" s="145">
        <v>0</v>
      </c>
      <c r="F12" s="146"/>
      <c r="G12" s="118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 ht="14.25" customHeight="1" x14ac:dyDescent="0.35">
      <c r="A13" s="151" t="s">
        <v>379</v>
      </c>
      <c r="B13" s="144">
        <v>0</v>
      </c>
      <c r="C13" s="144">
        <v>0</v>
      </c>
      <c r="D13" s="144">
        <f t="shared" si="0"/>
        <v>0</v>
      </c>
      <c r="E13" s="145">
        <v>0</v>
      </c>
      <c r="F13" s="146"/>
      <c r="G13" s="118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ht="14.25" customHeight="1" x14ac:dyDescent="0.35">
      <c r="A14" s="143" t="s">
        <v>380</v>
      </c>
      <c r="B14" s="144">
        <v>0</v>
      </c>
      <c r="C14" s="144">
        <v>0</v>
      </c>
      <c r="D14" s="144">
        <f t="shared" si="0"/>
        <v>0</v>
      </c>
      <c r="E14" s="145">
        <v>0</v>
      </c>
      <c r="F14" s="146"/>
      <c r="G14" s="118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ht="14.25" customHeight="1" x14ac:dyDescent="0.35">
      <c r="A15" s="143" t="s">
        <v>381</v>
      </c>
      <c r="B15" s="144">
        <v>0</v>
      </c>
      <c r="C15" s="144">
        <v>0</v>
      </c>
      <c r="D15" s="144">
        <f t="shared" si="0"/>
        <v>0</v>
      </c>
      <c r="E15" s="145">
        <v>0</v>
      </c>
      <c r="F15" s="146"/>
      <c r="G15" s="118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 ht="14.25" customHeight="1" x14ac:dyDescent="0.35">
      <c r="A16" s="135" t="s">
        <v>382</v>
      </c>
      <c r="B16" s="144">
        <f>SUM(B10:B11)</f>
        <v>924000</v>
      </c>
      <c r="C16" s="144">
        <f>C17</f>
        <v>283825.39</v>
      </c>
      <c r="D16" s="144">
        <f>B16-C16</f>
        <v>640174.61</v>
      </c>
      <c r="E16" s="145">
        <f>D16/B16</f>
        <v>0.69282966450216443</v>
      </c>
      <c r="F16" s="146" t="s">
        <v>471</v>
      </c>
      <c r="G16" s="259" t="s">
        <v>340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42" x14ac:dyDescent="0.35">
      <c r="A17" s="138" t="s">
        <v>457</v>
      </c>
      <c r="B17" s="152">
        <f>B18+B42+B44+B48</f>
        <v>924000</v>
      </c>
      <c r="C17" s="152">
        <f>C18+C42+C44+C48</f>
        <v>283825.39</v>
      </c>
      <c r="D17" s="152">
        <f t="shared" ref="D17:D35" si="1">B17-C17</f>
        <v>640174.61</v>
      </c>
      <c r="E17" s="153" t="s">
        <v>383</v>
      </c>
      <c r="F17" s="260" t="s">
        <v>471</v>
      </c>
      <c r="G17" s="154" t="s">
        <v>384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ht="14.25" customHeight="1" x14ac:dyDescent="0.35">
      <c r="A18" s="155" t="s">
        <v>385</v>
      </c>
      <c r="B18" s="156">
        <f t="shared" ref="B18:C18" si="2">SUM(B19:B41)</f>
        <v>15000</v>
      </c>
      <c r="C18" s="156">
        <f t="shared" si="2"/>
        <v>74000</v>
      </c>
      <c r="D18" s="156">
        <f t="shared" si="1"/>
        <v>-59000</v>
      </c>
      <c r="E18" s="157">
        <f>D18/C18</f>
        <v>-0.79729729729729726</v>
      </c>
      <c r="F18" s="158"/>
      <c r="G18" s="159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ht="28.5" customHeight="1" x14ac:dyDescent="0.35">
      <c r="A19" s="262" t="s">
        <v>473</v>
      </c>
      <c r="B19" s="144">
        <v>0</v>
      </c>
      <c r="C19" s="144">
        <v>0</v>
      </c>
      <c r="D19" s="160">
        <f t="shared" si="1"/>
        <v>0</v>
      </c>
      <c r="E19" s="145">
        <v>0</v>
      </c>
      <c r="F19" s="146"/>
      <c r="G19" s="118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 ht="43.5" customHeight="1" x14ac:dyDescent="0.35">
      <c r="A20" s="263" t="s">
        <v>474</v>
      </c>
      <c r="B20" s="144">
        <v>0</v>
      </c>
      <c r="C20" s="144">
        <v>0</v>
      </c>
      <c r="D20" s="160">
        <f t="shared" si="1"/>
        <v>0</v>
      </c>
      <c r="E20" s="145">
        <v>0</v>
      </c>
      <c r="F20" s="162"/>
      <c r="G20" s="118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ht="27" customHeight="1" x14ac:dyDescent="0.35">
      <c r="A21" s="263" t="s">
        <v>475</v>
      </c>
      <c r="B21" s="144">
        <v>0</v>
      </c>
      <c r="C21" s="144">
        <v>0</v>
      </c>
      <c r="D21" s="160">
        <f t="shared" si="1"/>
        <v>0</v>
      </c>
      <c r="E21" s="145">
        <v>0</v>
      </c>
      <c r="F21" s="162"/>
      <c r="G21" s="118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53.25" customHeight="1" x14ac:dyDescent="0.35">
      <c r="A22" s="263" t="s">
        <v>476</v>
      </c>
      <c r="B22" s="144">
        <v>0</v>
      </c>
      <c r="C22" s="144">
        <v>0</v>
      </c>
      <c r="D22" s="160">
        <f t="shared" si="1"/>
        <v>0</v>
      </c>
      <c r="E22" s="145">
        <v>0</v>
      </c>
      <c r="F22" s="162"/>
      <c r="G22" s="118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25.5" customHeight="1" x14ac:dyDescent="0.35">
      <c r="A23" s="263" t="s">
        <v>477</v>
      </c>
      <c r="B23" s="144">
        <v>0</v>
      </c>
      <c r="C23" s="144">
        <v>0</v>
      </c>
      <c r="D23" s="160">
        <f t="shared" si="1"/>
        <v>0</v>
      </c>
      <c r="E23" s="145">
        <v>0</v>
      </c>
      <c r="F23" s="162"/>
      <c r="G23" s="118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31.5" customHeight="1" x14ac:dyDescent="0.35">
      <c r="A24" s="263" t="s">
        <v>478</v>
      </c>
      <c r="B24" s="144">
        <v>0</v>
      </c>
      <c r="C24" s="144">
        <v>0</v>
      </c>
      <c r="D24" s="160">
        <f t="shared" si="1"/>
        <v>0</v>
      </c>
      <c r="E24" s="145">
        <v>0</v>
      </c>
      <c r="F24" s="162"/>
      <c r="G24" s="118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ht="45" customHeight="1" x14ac:dyDescent="0.35">
      <c r="A25" s="263" t="s">
        <v>479</v>
      </c>
      <c r="B25" s="144">
        <v>0</v>
      </c>
      <c r="C25" s="144">
        <v>0</v>
      </c>
      <c r="D25" s="160">
        <f t="shared" si="1"/>
        <v>0</v>
      </c>
      <c r="E25" s="145">
        <v>0</v>
      </c>
      <c r="F25" s="162"/>
      <c r="G25" s="118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ht="45" customHeight="1" x14ac:dyDescent="0.35">
      <c r="A26" s="263" t="s">
        <v>480</v>
      </c>
      <c r="B26" s="144">
        <v>0</v>
      </c>
      <c r="C26" s="144">
        <v>0</v>
      </c>
      <c r="D26" s="160">
        <f t="shared" si="1"/>
        <v>0</v>
      </c>
      <c r="E26" s="145">
        <v>0</v>
      </c>
      <c r="F26" s="162"/>
      <c r="G26" s="118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 ht="45" customHeight="1" x14ac:dyDescent="0.35">
      <c r="A27" s="263" t="s">
        <v>481</v>
      </c>
      <c r="B27" s="144">
        <v>0</v>
      </c>
      <c r="C27" s="144">
        <v>0</v>
      </c>
      <c r="D27" s="160">
        <f t="shared" si="1"/>
        <v>0</v>
      </c>
      <c r="E27" s="145">
        <v>0</v>
      </c>
      <c r="F27" s="162"/>
      <c r="G27" s="118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ht="45" customHeight="1" x14ac:dyDescent="0.35">
      <c r="A28" s="264" t="s">
        <v>482</v>
      </c>
      <c r="B28" s="144">
        <v>5000</v>
      </c>
      <c r="C28" s="144">
        <f>SUM('Breakdown expediture'!H5)</f>
        <v>21000</v>
      </c>
      <c r="D28" s="160">
        <f t="shared" si="1"/>
        <v>-16000</v>
      </c>
      <c r="E28" s="145">
        <f>D28/C28</f>
        <v>-0.76190476190476186</v>
      </c>
      <c r="F28" s="162" t="s">
        <v>445</v>
      </c>
      <c r="G28" s="136" t="s">
        <v>180</v>
      </c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ht="45" customHeight="1" x14ac:dyDescent="0.35">
      <c r="A29" s="264" t="s">
        <v>483</v>
      </c>
      <c r="B29" s="144">
        <v>0</v>
      </c>
      <c r="C29" s="144">
        <v>0</v>
      </c>
      <c r="D29" s="160">
        <f t="shared" si="1"/>
        <v>0</v>
      </c>
      <c r="E29" s="145">
        <v>0</v>
      </c>
      <c r="F29" s="162"/>
      <c r="G29" s="118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 ht="45" customHeight="1" x14ac:dyDescent="0.35">
      <c r="A30" s="264" t="s">
        <v>484</v>
      </c>
      <c r="B30" s="144">
        <v>0</v>
      </c>
      <c r="C30" s="144">
        <v>0</v>
      </c>
      <c r="D30" s="160">
        <f t="shared" si="1"/>
        <v>0</v>
      </c>
      <c r="E30" s="145">
        <v>0</v>
      </c>
      <c r="F30" s="162"/>
      <c r="G30" s="118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45" customHeight="1" x14ac:dyDescent="0.35">
      <c r="A31" s="264" t="s">
        <v>485</v>
      </c>
      <c r="B31" s="144">
        <v>5000</v>
      </c>
      <c r="C31" s="144">
        <f>SUM('Breakdown expediture'!H87)</f>
        <v>40000</v>
      </c>
      <c r="D31" s="160">
        <f t="shared" si="1"/>
        <v>-35000</v>
      </c>
      <c r="E31" s="145">
        <f>D31/C31</f>
        <v>-0.875</v>
      </c>
      <c r="F31" s="162" t="s">
        <v>446</v>
      </c>
      <c r="G31" s="136" t="s">
        <v>284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45" customHeight="1" x14ac:dyDescent="0.35">
      <c r="A32" s="264" t="s">
        <v>486</v>
      </c>
      <c r="B32" s="144">
        <v>0</v>
      </c>
      <c r="C32" s="144">
        <v>0</v>
      </c>
      <c r="D32" s="160">
        <f t="shared" si="1"/>
        <v>0</v>
      </c>
      <c r="E32" s="145">
        <v>0</v>
      </c>
      <c r="F32" s="162"/>
      <c r="G32" s="118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ht="45" customHeight="1" x14ac:dyDescent="0.35">
      <c r="A33" s="264" t="s">
        <v>487</v>
      </c>
      <c r="B33" s="144">
        <v>0</v>
      </c>
      <c r="C33" s="144">
        <v>0</v>
      </c>
      <c r="D33" s="160">
        <f t="shared" si="1"/>
        <v>0</v>
      </c>
      <c r="E33" s="145">
        <v>0</v>
      </c>
      <c r="F33" s="162"/>
      <c r="G33" s="118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ht="45" customHeight="1" x14ac:dyDescent="0.35">
      <c r="A34" s="264" t="s">
        <v>488</v>
      </c>
      <c r="B34" s="144">
        <v>5000</v>
      </c>
      <c r="C34" s="144">
        <f>SUM('Breakdown expediture'!H154)</f>
        <v>13000</v>
      </c>
      <c r="D34" s="160">
        <f t="shared" si="1"/>
        <v>-8000</v>
      </c>
      <c r="E34" s="145">
        <f>D34/C34</f>
        <v>-0.61538461538461542</v>
      </c>
      <c r="F34" s="162" t="s">
        <v>447</v>
      </c>
      <c r="G34" s="136" t="s">
        <v>340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ht="45" customHeight="1" x14ac:dyDescent="0.35">
      <c r="A35" s="264" t="s">
        <v>489</v>
      </c>
      <c r="B35" s="144">
        <v>0</v>
      </c>
      <c r="C35" s="144">
        <v>0</v>
      </c>
      <c r="D35" s="160">
        <f t="shared" si="1"/>
        <v>0</v>
      </c>
      <c r="E35" s="145">
        <v>0</v>
      </c>
      <c r="F35" s="162"/>
      <c r="G35" s="118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ht="45" customHeight="1" x14ac:dyDescent="0.35">
      <c r="A36" s="264" t="s">
        <v>490</v>
      </c>
      <c r="B36" s="144">
        <v>0</v>
      </c>
      <c r="C36" s="144">
        <v>0</v>
      </c>
      <c r="D36" s="160">
        <f t="shared" ref="D36:D41" si="3">B36-C36</f>
        <v>0</v>
      </c>
      <c r="E36" s="145">
        <v>0</v>
      </c>
      <c r="F36" s="162"/>
      <c r="G36" s="118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ht="45" customHeight="1" x14ac:dyDescent="0.35">
      <c r="A37" s="264" t="s">
        <v>491</v>
      </c>
      <c r="B37" s="144">
        <v>0</v>
      </c>
      <c r="C37" s="144">
        <v>0</v>
      </c>
      <c r="D37" s="160">
        <f t="shared" si="3"/>
        <v>0</v>
      </c>
      <c r="E37" s="145">
        <v>0</v>
      </c>
      <c r="F37" s="162"/>
      <c r="G37" s="118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 ht="45" customHeight="1" x14ac:dyDescent="0.35">
      <c r="A38" s="264" t="s">
        <v>492</v>
      </c>
      <c r="B38" s="144">
        <v>0</v>
      </c>
      <c r="C38" s="144">
        <v>0</v>
      </c>
      <c r="D38" s="160">
        <f t="shared" si="3"/>
        <v>0</v>
      </c>
      <c r="E38" s="145">
        <v>0</v>
      </c>
      <c r="F38" s="162"/>
      <c r="G38" s="118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ht="45" customHeight="1" x14ac:dyDescent="0.35">
      <c r="A39" s="264" t="s">
        <v>493</v>
      </c>
      <c r="B39" s="144">
        <v>0</v>
      </c>
      <c r="C39" s="144">
        <v>0</v>
      </c>
      <c r="D39" s="160">
        <f t="shared" si="3"/>
        <v>0</v>
      </c>
      <c r="E39" s="145">
        <v>0</v>
      </c>
      <c r="F39" s="162"/>
      <c r="G39" s="118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ht="45" customHeight="1" x14ac:dyDescent="0.35">
      <c r="A40" s="264" t="s">
        <v>494</v>
      </c>
      <c r="B40" s="144">
        <v>0</v>
      </c>
      <c r="C40" s="144">
        <v>0</v>
      </c>
      <c r="D40" s="160">
        <f t="shared" si="3"/>
        <v>0</v>
      </c>
      <c r="E40" s="145">
        <v>0</v>
      </c>
      <c r="F40" s="162"/>
      <c r="G40" s="118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45" customHeight="1" x14ac:dyDescent="0.35">
      <c r="A41" s="264" t="s">
        <v>495</v>
      </c>
      <c r="B41" s="144">
        <v>0</v>
      </c>
      <c r="C41" s="144">
        <v>0</v>
      </c>
      <c r="D41" s="160">
        <f t="shared" si="3"/>
        <v>0</v>
      </c>
      <c r="E41" s="145">
        <v>0</v>
      </c>
      <c r="F41" s="162"/>
      <c r="G41" s="118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ht="14.25" customHeight="1" x14ac:dyDescent="0.35">
      <c r="A42" s="164" t="s">
        <v>163</v>
      </c>
      <c r="B42" s="165">
        <f>SUM(B43:B43)</f>
        <v>0</v>
      </c>
      <c r="C42" s="165">
        <f>SUM(C43:C43)</f>
        <v>2717.69</v>
      </c>
      <c r="D42" s="165">
        <f>SUM(D43:D43)</f>
        <v>-2717.69</v>
      </c>
      <c r="E42" s="166">
        <f>D42/C42</f>
        <v>-1</v>
      </c>
      <c r="F42" s="167"/>
      <c r="G42" s="168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36" customHeight="1" x14ac:dyDescent="0.35">
      <c r="A43" s="163" t="s">
        <v>173</v>
      </c>
      <c r="B43" s="169">
        <v>0</v>
      </c>
      <c r="C43" s="144">
        <f>SUM('Breakdown expediture'!I174:I175)</f>
        <v>2717.69</v>
      </c>
      <c r="D43" s="144">
        <f>SUM(B43-C43)</f>
        <v>-2717.69</v>
      </c>
      <c r="E43" s="145">
        <f>D43/C43</f>
        <v>-1</v>
      </c>
      <c r="F43" s="162" t="s">
        <v>448</v>
      </c>
      <c r="G43" s="118" t="s">
        <v>449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4.25" customHeight="1" x14ac:dyDescent="0.35">
      <c r="A44" s="170" t="s">
        <v>386</v>
      </c>
      <c r="B44" s="165">
        <f>SUM(B45:B46)</f>
        <v>909000</v>
      </c>
      <c r="C44" s="165">
        <f>SUM(C45:C46)</f>
        <v>207107.7</v>
      </c>
      <c r="D44" s="165">
        <f>SUM(D45:D46)</f>
        <v>701892.3</v>
      </c>
      <c r="E44" s="166"/>
      <c r="F44" s="167"/>
      <c r="G44" s="168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31.5" customHeight="1" x14ac:dyDescent="0.35">
      <c r="A45" s="161" t="s">
        <v>280</v>
      </c>
      <c r="B45" s="144">
        <v>506664</v>
      </c>
      <c r="C45" s="144" cm="1">
        <f t="array" ref="C45">SUM('Breakdown expediture'!K174:K175+'Breakdown expediture'!J174:J175)</f>
        <v>166926.87000000002</v>
      </c>
      <c r="D45" s="144">
        <f t="shared" ref="D45:D46" si="4">B45-C45</f>
        <v>339737.13</v>
      </c>
      <c r="E45" s="145">
        <f t="shared" ref="E45:E46" si="5">D45/B45</f>
        <v>0.67053733835441243</v>
      </c>
      <c r="F45" s="162" t="s">
        <v>450</v>
      </c>
      <c r="G45" s="118" t="s">
        <v>449</v>
      </c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22.5" customHeight="1" x14ac:dyDescent="0.35">
      <c r="A46" s="161" t="s">
        <v>269</v>
      </c>
      <c r="B46" s="144">
        <v>402336</v>
      </c>
      <c r="C46" s="144">
        <f>SUM('Breakdown expediture'!L174:L175)</f>
        <v>40180.83</v>
      </c>
      <c r="D46" s="144">
        <f t="shared" si="4"/>
        <v>362155.17</v>
      </c>
      <c r="E46" s="145">
        <f t="shared" si="5"/>
        <v>0.9001311590312574</v>
      </c>
      <c r="F46" s="162" t="s">
        <v>451</v>
      </c>
      <c r="G46" s="118" t="s">
        <v>449</v>
      </c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4.25" customHeight="1" x14ac:dyDescent="0.35">
      <c r="A47" s="94"/>
      <c r="B47" s="89"/>
      <c r="C47" s="89"/>
      <c r="D47" s="89"/>
      <c r="E47" s="90"/>
      <c r="F47" s="95"/>
      <c r="G47" s="91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ht="14.25" customHeight="1" x14ac:dyDescent="0.35">
      <c r="A48" s="107" t="s">
        <v>388</v>
      </c>
      <c r="B48" s="108">
        <v>0</v>
      </c>
      <c r="C48" s="108">
        <v>0</v>
      </c>
      <c r="D48" s="108">
        <v>0</v>
      </c>
      <c r="E48" s="109">
        <v>0</v>
      </c>
      <c r="F48" s="110"/>
      <c r="G48" s="106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 ht="14.25" customHeight="1" x14ac:dyDescent="0.35">
      <c r="A49" s="94"/>
      <c r="B49" s="89">
        <v>0</v>
      </c>
      <c r="C49" s="89">
        <v>0</v>
      </c>
      <c r="D49" s="89">
        <v>0</v>
      </c>
      <c r="E49" s="90">
        <v>0</v>
      </c>
      <c r="F49" s="95"/>
      <c r="G49" s="91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 ht="28.5" customHeight="1" x14ac:dyDescent="0.35">
      <c r="A50" s="111" t="s">
        <v>389</v>
      </c>
      <c r="B50" s="112">
        <f>B17</f>
        <v>924000</v>
      </c>
      <c r="C50" s="112">
        <f>C18+C42+C44+C48</f>
        <v>283825.39</v>
      </c>
      <c r="D50" s="113">
        <f>D48+D44+D42+D18</f>
        <v>640174.6100000001</v>
      </c>
      <c r="E50" s="114">
        <f>D50/B50</f>
        <v>0.69282966450216465</v>
      </c>
      <c r="F50" s="115"/>
      <c r="G50" s="116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4.25" customHeight="1" x14ac:dyDescent="0.35">
      <c r="A51" s="97" t="s">
        <v>390</v>
      </c>
      <c r="B51" s="381"/>
      <c r="C51" s="382">
        <f>B50-C50</f>
        <v>640174.61</v>
      </c>
      <c r="D51" s="385"/>
      <c r="E51" s="384"/>
      <c r="F51" s="390"/>
      <c r="G51" s="91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 ht="14.25" customHeight="1" x14ac:dyDescent="0.35">
      <c r="A52" s="97" t="s">
        <v>391</v>
      </c>
      <c r="B52" s="284"/>
      <c r="C52" s="383"/>
      <c r="D52" s="385"/>
      <c r="E52" s="323"/>
      <c r="F52" s="284"/>
      <c r="G52" s="91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spans="1:26" ht="14.25" customHeight="1" x14ac:dyDescent="0.35">
      <c r="A53" s="98"/>
      <c r="B53" s="99"/>
      <c r="C53" s="99"/>
      <c r="D53" s="99"/>
      <c r="E53" s="100"/>
      <c r="F53" s="92"/>
      <c r="G53" s="93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spans="1:26" ht="18" customHeight="1" x14ac:dyDescent="0.35">
      <c r="A54" s="98" t="s">
        <v>392</v>
      </c>
      <c r="B54" s="101"/>
      <c r="C54" s="99"/>
      <c r="D54" s="99"/>
      <c r="E54" s="100"/>
      <c r="F54" s="92"/>
      <c r="G54" s="93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ht="18" customHeight="1" x14ac:dyDescent="0.35">
      <c r="A55" s="380" t="s">
        <v>498</v>
      </c>
      <c r="B55" s="288"/>
      <c r="C55" s="288"/>
      <c r="D55" s="99"/>
      <c r="E55" s="100"/>
      <c r="F55" s="92"/>
      <c r="G55" s="93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60" customHeight="1" x14ac:dyDescent="0.35">
      <c r="A56" s="380" t="s">
        <v>393</v>
      </c>
      <c r="B56" s="288"/>
      <c r="C56" s="99"/>
      <c r="D56" s="99"/>
      <c r="E56" s="100"/>
      <c r="F56" s="92"/>
      <c r="G56" s="93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spans="1:26" ht="18" customHeight="1" x14ac:dyDescent="0.35">
      <c r="A57" s="380" t="s">
        <v>394</v>
      </c>
      <c r="B57" s="288"/>
      <c r="C57" s="99"/>
      <c r="D57" s="99"/>
      <c r="E57" s="100"/>
      <c r="F57" s="92"/>
      <c r="G57" s="93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1:26" ht="18" customHeight="1" x14ac:dyDescent="0.35">
      <c r="A58" s="102"/>
      <c r="B58" s="103"/>
      <c r="C58" s="99"/>
      <c r="D58" s="99"/>
      <c r="E58" s="100"/>
      <c r="F58" s="92"/>
      <c r="G58" s="93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spans="1:26" ht="18" customHeight="1" x14ac:dyDescent="0.35">
      <c r="A59" s="380" t="s">
        <v>499</v>
      </c>
      <c r="B59" s="288"/>
      <c r="C59" s="288"/>
      <c r="D59" s="99"/>
      <c r="E59" s="100"/>
      <c r="F59" s="92"/>
      <c r="G59" s="93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spans="1:26" ht="43.5" customHeight="1" x14ac:dyDescent="0.35">
      <c r="A60" s="380" t="s">
        <v>395</v>
      </c>
      <c r="B60" s="288"/>
      <c r="C60" s="99"/>
      <c r="D60" s="99"/>
      <c r="E60" s="100"/>
      <c r="F60" s="92"/>
      <c r="G60" s="93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spans="1:26" ht="18" customHeight="1" x14ac:dyDescent="0.35">
      <c r="A61" s="380" t="s">
        <v>394</v>
      </c>
      <c r="B61" s="288"/>
      <c r="C61" s="99"/>
      <c r="D61" s="99"/>
      <c r="E61" s="100"/>
      <c r="F61" s="92"/>
      <c r="G61" s="93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spans="1:26" ht="14.25" customHeight="1" x14ac:dyDescent="0.35">
      <c r="A62" s="92"/>
      <c r="B62" s="99"/>
      <c r="C62" s="99"/>
      <c r="D62" s="99"/>
      <c r="E62" s="100"/>
      <c r="F62" s="92"/>
      <c r="G62" s="93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ht="14.25" customHeight="1" x14ac:dyDescent="0.35">
      <c r="A63" s="92"/>
      <c r="B63" s="99"/>
      <c r="C63" s="99"/>
      <c r="D63" s="99"/>
      <c r="E63" s="100"/>
      <c r="F63" s="92"/>
      <c r="G63" s="93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spans="1:26" ht="14.25" customHeight="1" x14ac:dyDescent="0.35">
      <c r="A64" s="92"/>
      <c r="B64" s="99"/>
      <c r="C64" s="99"/>
      <c r="D64" s="99"/>
      <c r="E64" s="100"/>
      <c r="F64" s="92"/>
      <c r="G64" s="93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ht="14.25" customHeight="1" x14ac:dyDescent="0.35">
      <c r="A65" s="92"/>
      <c r="B65" s="99"/>
      <c r="C65" s="99"/>
      <c r="D65" s="99"/>
      <c r="E65" s="100"/>
      <c r="F65" s="92"/>
      <c r="G65" s="93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ht="14.25" customHeight="1" x14ac:dyDescent="0.35">
      <c r="A66" s="92"/>
      <c r="B66" s="99"/>
      <c r="C66" s="99"/>
      <c r="D66" s="99"/>
      <c r="E66" s="100"/>
      <c r="F66" s="92"/>
      <c r="G66" s="93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14.25" customHeight="1" x14ac:dyDescent="0.35">
      <c r="A67" s="92"/>
      <c r="B67" s="99"/>
      <c r="C67" s="99"/>
      <c r="D67" s="99"/>
      <c r="E67" s="100"/>
      <c r="F67" s="92"/>
      <c r="G67" s="93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ht="14.25" customHeight="1" x14ac:dyDescent="0.35">
      <c r="A68" s="92"/>
      <c r="B68" s="99"/>
      <c r="C68" s="99"/>
      <c r="D68" s="99"/>
      <c r="E68" s="100"/>
      <c r="F68" s="92"/>
      <c r="G68" s="93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14.25" customHeight="1" x14ac:dyDescent="0.35">
      <c r="A69" s="92"/>
      <c r="B69" s="99"/>
      <c r="C69" s="99"/>
      <c r="D69" s="99"/>
      <c r="E69" s="100"/>
      <c r="F69" s="92"/>
      <c r="G69" s="93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14.25" customHeight="1" x14ac:dyDescent="0.35">
      <c r="A70" s="92"/>
      <c r="B70" s="99"/>
      <c r="C70" s="99"/>
      <c r="D70" s="99"/>
      <c r="E70" s="100"/>
      <c r="F70" s="92"/>
      <c r="G70" s="93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ht="14.25" customHeight="1" x14ac:dyDescent="0.35">
      <c r="A71" s="92"/>
      <c r="B71" s="99"/>
      <c r="C71" s="99"/>
      <c r="D71" s="99"/>
      <c r="E71" s="100"/>
      <c r="F71" s="92"/>
      <c r="G71" s="93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ht="14.25" customHeight="1" x14ac:dyDescent="0.35">
      <c r="A72" s="92"/>
      <c r="B72" s="99"/>
      <c r="C72" s="99"/>
      <c r="D72" s="99"/>
      <c r="E72" s="100"/>
      <c r="F72" s="92"/>
      <c r="G72" s="93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ht="14.25" customHeight="1" x14ac:dyDescent="0.35">
      <c r="A73" s="92"/>
      <c r="B73" s="99"/>
      <c r="C73" s="99"/>
      <c r="D73" s="99"/>
      <c r="E73" s="100"/>
      <c r="F73" s="92"/>
      <c r="G73" s="93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ht="14.25" customHeight="1" x14ac:dyDescent="0.35">
      <c r="A74" s="92"/>
      <c r="B74" s="99"/>
      <c r="C74" s="99"/>
      <c r="D74" s="99"/>
      <c r="E74" s="100"/>
      <c r="F74" s="92"/>
      <c r="G74" s="93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ht="14.25" customHeight="1" x14ac:dyDescent="0.35">
      <c r="A75" s="92"/>
      <c r="B75" s="99"/>
      <c r="C75" s="99"/>
      <c r="D75" s="99"/>
      <c r="E75" s="100"/>
      <c r="F75" s="92"/>
      <c r="G75" s="93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ht="14.25" customHeight="1" x14ac:dyDescent="0.35">
      <c r="A76" s="92"/>
      <c r="B76" s="99"/>
      <c r="C76" s="99"/>
      <c r="D76" s="99"/>
      <c r="E76" s="100"/>
      <c r="F76" s="92"/>
      <c r="G76" s="93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ht="14.25" customHeight="1" x14ac:dyDescent="0.35">
      <c r="A77" s="92"/>
      <c r="B77" s="99"/>
      <c r="C77" s="99"/>
      <c r="D77" s="99"/>
      <c r="E77" s="100"/>
      <c r="F77" s="92"/>
      <c r="G77" s="93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4.25" customHeight="1" x14ac:dyDescent="0.35">
      <c r="A78" s="92"/>
      <c r="B78" s="99"/>
      <c r="C78" s="99"/>
      <c r="D78" s="99"/>
      <c r="E78" s="100"/>
      <c r="F78" s="92"/>
      <c r="G78" s="93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14.25" customHeight="1" x14ac:dyDescent="0.35">
      <c r="A79" s="92"/>
      <c r="B79" s="99"/>
      <c r="C79" s="99"/>
      <c r="D79" s="99"/>
      <c r="E79" s="100"/>
      <c r="F79" s="92"/>
      <c r="G79" s="93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14.25" customHeight="1" x14ac:dyDescent="0.35">
      <c r="A80" s="92"/>
      <c r="B80" s="99"/>
      <c r="C80" s="99"/>
      <c r="D80" s="99"/>
      <c r="E80" s="100"/>
      <c r="F80" s="92"/>
      <c r="G80" s="93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14.25" customHeight="1" x14ac:dyDescent="0.35">
      <c r="A81" s="92"/>
      <c r="B81" s="99"/>
      <c r="C81" s="99"/>
      <c r="D81" s="99"/>
      <c r="E81" s="100"/>
      <c r="F81" s="92"/>
      <c r="G81" s="93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14.25" customHeight="1" x14ac:dyDescent="0.35">
      <c r="A82" s="92"/>
      <c r="B82" s="99"/>
      <c r="C82" s="99"/>
      <c r="D82" s="99"/>
      <c r="E82" s="100"/>
      <c r="F82" s="92"/>
      <c r="G82" s="93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14.25" customHeight="1" x14ac:dyDescent="0.35">
      <c r="A83" s="92"/>
      <c r="B83" s="99"/>
      <c r="C83" s="99"/>
      <c r="D83" s="99"/>
      <c r="E83" s="100"/>
      <c r="F83" s="92"/>
      <c r="G83" s="93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ht="14.25" customHeight="1" x14ac:dyDescent="0.35">
      <c r="A84" s="92"/>
      <c r="B84" s="99"/>
      <c r="C84" s="99"/>
      <c r="D84" s="99"/>
      <c r="E84" s="100"/>
      <c r="F84" s="92"/>
      <c r="G84" s="93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ht="14.25" customHeight="1" x14ac:dyDescent="0.35">
      <c r="A85" s="92"/>
      <c r="B85" s="99"/>
      <c r="C85" s="99"/>
      <c r="D85" s="99"/>
      <c r="E85" s="100"/>
      <c r="F85" s="92"/>
      <c r="G85" s="93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ht="14.25" customHeight="1" x14ac:dyDescent="0.35">
      <c r="A86" s="92"/>
      <c r="B86" s="99"/>
      <c r="C86" s="99"/>
      <c r="D86" s="99"/>
      <c r="E86" s="100"/>
      <c r="F86" s="92"/>
      <c r="G86" s="93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ht="14.25" customHeight="1" x14ac:dyDescent="0.35">
      <c r="A87" s="92"/>
      <c r="B87" s="99"/>
      <c r="C87" s="99"/>
      <c r="D87" s="99"/>
      <c r="E87" s="100"/>
      <c r="F87" s="92"/>
      <c r="G87" s="93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14.25" customHeight="1" x14ac:dyDescent="0.35">
      <c r="A88" s="92"/>
      <c r="B88" s="99"/>
      <c r="C88" s="99"/>
      <c r="D88" s="99"/>
      <c r="E88" s="100"/>
      <c r="F88" s="92"/>
      <c r="G88" s="93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14.25" customHeight="1" x14ac:dyDescent="0.35">
      <c r="A89" s="92"/>
      <c r="B89" s="99"/>
      <c r="C89" s="99"/>
      <c r="D89" s="99"/>
      <c r="E89" s="100"/>
      <c r="F89" s="92"/>
      <c r="G89" s="93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14.25" customHeight="1" x14ac:dyDescent="0.35">
      <c r="A90" s="92"/>
      <c r="B90" s="99"/>
      <c r="C90" s="99"/>
      <c r="D90" s="99"/>
      <c r="E90" s="100"/>
      <c r="F90" s="92"/>
      <c r="G90" s="93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ht="14.25" customHeight="1" x14ac:dyDescent="0.35">
      <c r="A91" s="92"/>
      <c r="B91" s="99"/>
      <c r="C91" s="99"/>
      <c r="D91" s="99"/>
      <c r="E91" s="100"/>
      <c r="F91" s="92"/>
      <c r="G91" s="93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14.25" customHeight="1" x14ac:dyDescent="0.35">
      <c r="A92" s="92"/>
      <c r="B92" s="99"/>
      <c r="C92" s="99"/>
      <c r="D92" s="99"/>
      <c r="E92" s="100"/>
      <c r="F92" s="92"/>
      <c r="G92" s="93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ht="14.25" customHeight="1" x14ac:dyDescent="0.35">
      <c r="A93" s="92"/>
      <c r="B93" s="99"/>
      <c r="C93" s="99"/>
      <c r="D93" s="99"/>
      <c r="E93" s="100"/>
      <c r="F93" s="92"/>
      <c r="G93" s="93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ht="14.25" customHeight="1" x14ac:dyDescent="0.35">
      <c r="A94" s="92"/>
      <c r="B94" s="99"/>
      <c r="C94" s="99"/>
      <c r="D94" s="99"/>
      <c r="E94" s="100"/>
      <c r="F94" s="92"/>
      <c r="G94" s="93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ht="14.25" customHeight="1" x14ac:dyDescent="0.35">
      <c r="A95" s="92"/>
      <c r="B95" s="99"/>
      <c r="C95" s="99"/>
      <c r="D95" s="99"/>
      <c r="E95" s="100"/>
      <c r="F95" s="92"/>
      <c r="G95" s="93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ht="14.25" customHeight="1" x14ac:dyDescent="0.35">
      <c r="A96" s="92"/>
      <c r="B96" s="99"/>
      <c r="C96" s="99"/>
      <c r="D96" s="99"/>
      <c r="E96" s="100"/>
      <c r="F96" s="92"/>
      <c r="G96" s="93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1:26" ht="14.25" customHeight="1" x14ac:dyDescent="0.35">
      <c r="A97" s="92"/>
      <c r="B97" s="99"/>
      <c r="C97" s="99"/>
      <c r="D97" s="99"/>
      <c r="E97" s="100"/>
      <c r="F97" s="92"/>
      <c r="G97" s="93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14.25" customHeight="1" x14ac:dyDescent="0.35">
      <c r="A98" s="92"/>
      <c r="B98" s="99"/>
      <c r="C98" s="99"/>
      <c r="D98" s="99"/>
      <c r="E98" s="100"/>
      <c r="F98" s="92"/>
      <c r="G98" s="93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14.25" customHeight="1" x14ac:dyDescent="0.35">
      <c r="A99" s="92"/>
      <c r="B99" s="99"/>
      <c r="C99" s="99"/>
      <c r="D99" s="99"/>
      <c r="E99" s="100"/>
      <c r="F99" s="92"/>
      <c r="G99" s="93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14.25" customHeight="1" x14ac:dyDescent="0.35">
      <c r="A100" s="92"/>
      <c r="B100" s="99"/>
      <c r="C100" s="99"/>
      <c r="D100" s="99"/>
      <c r="E100" s="100"/>
      <c r="F100" s="92"/>
      <c r="G100" s="93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14.25" customHeight="1" x14ac:dyDescent="0.35">
      <c r="A101" s="92"/>
      <c r="B101" s="99"/>
      <c r="C101" s="99"/>
      <c r="D101" s="99"/>
      <c r="E101" s="100"/>
      <c r="F101" s="92"/>
      <c r="G101" s="93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ht="14.25" customHeight="1" x14ac:dyDescent="0.35">
      <c r="A102" s="92"/>
      <c r="B102" s="99"/>
      <c r="C102" s="99"/>
      <c r="D102" s="99"/>
      <c r="E102" s="100"/>
      <c r="F102" s="92"/>
      <c r="G102" s="93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ht="14.25" customHeight="1" x14ac:dyDescent="0.35">
      <c r="A103" s="92"/>
      <c r="B103" s="99"/>
      <c r="C103" s="99"/>
      <c r="D103" s="99"/>
      <c r="E103" s="100"/>
      <c r="F103" s="92"/>
      <c r="G103" s="93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ht="14.25" customHeight="1" x14ac:dyDescent="0.35">
      <c r="A104" s="92"/>
      <c r="B104" s="99"/>
      <c r="C104" s="99"/>
      <c r="D104" s="99"/>
      <c r="E104" s="100"/>
      <c r="F104" s="92"/>
      <c r="G104" s="93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ht="14.25" customHeight="1" x14ac:dyDescent="0.35">
      <c r="A105" s="92"/>
      <c r="B105" s="99"/>
      <c r="C105" s="99"/>
      <c r="D105" s="99"/>
      <c r="E105" s="100"/>
      <c r="F105" s="92"/>
      <c r="G105" s="93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ht="14.25" customHeight="1" x14ac:dyDescent="0.35">
      <c r="A106" s="92"/>
      <c r="B106" s="99"/>
      <c r="C106" s="99"/>
      <c r="D106" s="99"/>
      <c r="E106" s="100"/>
      <c r="F106" s="92"/>
      <c r="G106" s="93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ht="14.25" customHeight="1" x14ac:dyDescent="0.35">
      <c r="A107" s="92"/>
      <c r="B107" s="99"/>
      <c r="C107" s="99"/>
      <c r="D107" s="99"/>
      <c r="E107" s="100"/>
      <c r="F107" s="92"/>
      <c r="G107" s="93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ht="14.25" customHeight="1" x14ac:dyDescent="0.35">
      <c r="A108" s="92"/>
      <c r="B108" s="99"/>
      <c r="C108" s="99"/>
      <c r="D108" s="99"/>
      <c r="E108" s="100"/>
      <c r="F108" s="92"/>
      <c r="G108" s="93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ht="14.25" customHeight="1" x14ac:dyDescent="0.35">
      <c r="A109" s="92"/>
      <c r="B109" s="99"/>
      <c r="C109" s="99"/>
      <c r="D109" s="99"/>
      <c r="E109" s="100"/>
      <c r="F109" s="92"/>
      <c r="G109" s="93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ht="14.25" customHeight="1" x14ac:dyDescent="0.35">
      <c r="A110" s="92"/>
      <c r="B110" s="99"/>
      <c r="C110" s="99"/>
      <c r="D110" s="99"/>
      <c r="E110" s="100"/>
      <c r="F110" s="92"/>
      <c r="G110" s="93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ht="14.25" customHeight="1" x14ac:dyDescent="0.35">
      <c r="A111" s="92"/>
      <c r="B111" s="99"/>
      <c r="C111" s="99"/>
      <c r="D111" s="99"/>
      <c r="E111" s="100"/>
      <c r="F111" s="92"/>
      <c r="G111" s="93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ht="14.25" customHeight="1" x14ac:dyDescent="0.35">
      <c r="A112" s="92"/>
      <c r="B112" s="99"/>
      <c r="C112" s="99"/>
      <c r="D112" s="99"/>
      <c r="E112" s="100"/>
      <c r="F112" s="92"/>
      <c r="G112" s="93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ht="14.25" customHeight="1" x14ac:dyDescent="0.35">
      <c r="A113" s="92"/>
      <c r="B113" s="99"/>
      <c r="C113" s="99"/>
      <c r="D113" s="99"/>
      <c r="E113" s="100"/>
      <c r="F113" s="92"/>
      <c r="G113" s="93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ht="14.25" customHeight="1" x14ac:dyDescent="0.35">
      <c r="A114" s="92"/>
      <c r="B114" s="99"/>
      <c r="C114" s="99"/>
      <c r="D114" s="99"/>
      <c r="E114" s="100"/>
      <c r="F114" s="92"/>
      <c r="G114" s="93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ht="14.25" customHeight="1" x14ac:dyDescent="0.35">
      <c r="A115" s="92"/>
      <c r="B115" s="99"/>
      <c r="C115" s="99"/>
      <c r="D115" s="99"/>
      <c r="E115" s="100"/>
      <c r="F115" s="92"/>
      <c r="G115" s="93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ht="14.25" customHeight="1" x14ac:dyDescent="0.35">
      <c r="A116" s="92"/>
      <c r="B116" s="99"/>
      <c r="C116" s="99"/>
      <c r="D116" s="99"/>
      <c r="E116" s="100"/>
      <c r="F116" s="92"/>
      <c r="G116" s="93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ht="14.25" customHeight="1" x14ac:dyDescent="0.35">
      <c r="A117" s="92"/>
      <c r="B117" s="99"/>
      <c r="C117" s="99"/>
      <c r="D117" s="99"/>
      <c r="E117" s="100"/>
      <c r="F117" s="92"/>
      <c r="G117" s="93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ht="14.25" customHeight="1" x14ac:dyDescent="0.35">
      <c r="A118" s="92"/>
      <c r="B118" s="99"/>
      <c r="C118" s="99"/>
      <c r="D118" s="99"/>
      <c r="E118" s="100"/>
      <c r="F118" s="92"/>
      <c r="G118" s="93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ht="14.25" customHeight="1" x14ac:dyDescent="0.35">
      <c r="A119" s="92"/>
      <c r="B119" s="99"/>
      <c r="C119" s="99"/>
      <c r="D119" s="99"/>
      <c r="E119" s="100"/>
      <c r="F119" s="92"/>
      <c r="G119" s="93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ht="14.25" customHeight="1" x14ac:dyDescent="0.35">
      <c r="A120" s="92"/>
      <c r="B120" s="99"/>
      <c r="C120" s="99"/>
      <c r="D120" s="99"/>
      <c r="E120" s="100"/>
      <c r="F120" s="92"/>
      <c r="G120" s="93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ht="14.25" customHeight="1" x14ac:dyDescent="0.35">
      <c r="A121" s="92"/>
      <c r="B121" s="99"/>
      <c r="C121" s="99"/>
      <c r="D121" s="99"/>
      <c r="E121" s="100"/>
      <c r="F121" s="92"/>
      <c r="G121" s="93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ht="14.25" customHeight="1" x14ac:dyDescent="0.35">
      <c r="A122" s="92"/>
      <c r="B122" s="99"/>
      <c r="C122" s="99"/>
      <c r="D122" s="99"/>
      <c r="E122" s="100"/>
      <c r="F122" s="92"/>
      <c r="G122" s="93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ht="14.25" customHeight="1" x14ac:dyDescent="0.35">
      <c r="A123" s="92"/>
      <c r="B123" s="99"/>
      <c r="C123" s="99"/>
      <c r="D123" s="99"/>
      <c r="E123" s="100"/>
      <c r="F123" s="92"/>
      <c r="G123" s="93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ht="14.25" customHeight="1" x14ac:dyDescent="0.35">
      <c r="A124" s="92"/>
      <c r="B124" s="99"/>
      <c r="C124" s="99"/>
      <c r="D124" s="99"/>
      <c r="E124" s="100"/>
      <c r="F124" s="92"/>
      <c r="G124" s="93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ht="14.25" customHeight="1" x14ac:dyDescent="0.35">
      <c r="A125" s="92"/>
      <c r="B125" s="99"/>
      <c r="C125" s="99"/>
      <c r="D125" s="99"/>
      <c r="E125" s="100"/>
      <c r="F125" s="92"/>
      <c r="G125" s="93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ht="14.25" customHeight="1" x14ac:dyDescent="0.35">
      <c r="A126" s="92"/>
      <c r="B126" s="99"/>
      <c r="C126" s="99"/>
      <c r="D126" s="99"/>
      <c r="E126" s="100"/>
      <c r="F126" s="92"/>
      <c r="G126" s="93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ht="14.25" customHeight="1" x14ac:dyDescent="0.35">
      <c r="A127" s="92"/>
      <c r="B127" s="99"/>
      <c r="C127" s="99"/>
      <c r="D127" s="99"/>
      <c r="E127" s="100"/>
      <c r="F127" s="92"/>
      <c r="G127" s="93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ht="14.25" customHeight="1" x14ac:dyDescent="0.35">
      <c r="A128" s="92"/>
      <c r="B128" s="99"/>
      <c r="C128" s="99"/>
      <c r="D128" s="99"/>
      <c r="E128" s="100"/>
      <c r="F128" s="92"/>
      <c r="G128" s="93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ht="14.25" customHeight="1" x14ac:dyDescent="0.35">
      <c r="A129" s="92"/>
      <c r="B129" s="99"/>
      <c r="C129" s="99"/>
      <c r="D129" s="99"/>
      <c r="E129" s="100"/>
      <c r="F129" s="92"/>
      <c r="G129" s="93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ht="14.25" customHeight="1" x14ac:dyDescent="0.35">
      <c r="A130" s="92"/>
      <c r="B130" s="99"/>
      <c r="C130" s="99"/>
      <c r="D130" s="99"/>
      <c r="E130" s="100"/>
      <c r="F130" s="92"/>
      <c r="G130" s="93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ht="14.25" customHeight="1" x14ac:dyDescent="0.35">
      <c r="A131" s="92"/>
      <c r="B131" s="99"/>
      <c r="C131" s="99"/>
      <c r="D131" s="99"/>
      <c r="E131" s="100"/>
      <c r="F131" s="92"/>
      <c r="G131" s="93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ht="14.25" customHeight="1" x14ac:dyDescent="0.35">
      <c r="A132" s="92"/>
      <c r="B132" s="99"/>
      <c r="C132" s="99"/>
      <c r="D132" s="99"/>
      <c r="E132" s="100"/>
      <c r="F132" s="92"/>
      <c r="G132" s="93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ht="14.25" customHeight="1" x14ac:dyDescent="0.35">
      <c r="A133" s="92"/>
      <c r="B133" s="99"/>
      <c r="C133" s="99"/>
      <c r="D133" s="99"/>
      <c r="E133" s="100"/>
      <c r="F133" s="92"/>
      <c r="G133" s="93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ht="14.25" customHeight="1" x14ac:dyDescent="0.35">
      <c r="A134" s="92"/>
      <c r="B134" s="99"/>
      <c r="C134" s="99"/>
      <c r="D134" s="99"/>
      <c r="E134" s="100"/>
      <c r="F134" s="92"/>
      <c r="G134" s="93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ht="14.25" customHeight="1" x14ac:dyDescent="0.35">
      <c r="A135" s="92"/>
      <c r="B135" s="99"/>
      <c r="C135" s="99"/>
      <c r="D135" s="99"/>
      <c r="E135" s="100"/>
      <c r="F135" s="92"/>
      <c r="G135" s="93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ht="14.25" customHeight="1" x14ac:dyDescent="0.35">
      <c r="A136" s="92"/>
      <c r="B136" s="99"/>
      <c r="C136" s="99"/>
      <c r="D136" s="99"/>
      <c r="E136" s="100"/>
      <c r="F136" s="92"/>
      <c r="G136" s="93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ht="14.25" customHeight="1" x14ac:dyDescent="0.35">
      <c r="A137" s="92"/>
      <c r="B137" s="99"/>
      <c r="C137" s="99"/>
      <c r="D137" s="99"/>
      <c r="E137" s="100"/>
      <c r="F137" s="92"/>
      <c r="G137" s="93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ht="14.25" customHeight="1" x14ac:dyDescent="0.35">
      <c r="A138" s="92"/>
      <c r="B138" s="99"/>
      <c r="C138" s="99"/>
      <c r="D138" s="99"/>
      <c r="E138" s="100"/>
      <c r="F138" s="92"/>
      <c r="G138" s="93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ht="14.25" customHeight="1" x14ac:dyDescent="0.35">
      <c r="A139" s="92"/>
      <c r="B139" s="99"/>
      <c r="C139" s="99"/>
      <c r="D139" s="99"/>
      <c r="E139" s="100"/>
      <c r="F139" s="92"/>
      <c r="G139" s="93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ht="14.25" customHeight="1" x14ac:dyDescent="0.35">
      <c r="A140" s="92"/>
      <c r="B140" s="99"/>
      <c r="C140" s="99"/>
      <c r="D140" s="99"/>
      <c r="E140" s="100"/>
      <c r="F140" s="92"/>
      <c r="G140" s="93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ht="14.25" customHeight="1" x14ac:dyDescent="0.35">
      <c r="A141" s="92"/>
      <c r="B141" s="99"/>
      <c r="C141" s="99"/>
      <c r="D141" s="99"/>
      <c r="E141" s="100"/>
      <c r="F141" s="92"/>
      <c r="G141" s="93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ht="14.25" customHeight="1" x14ac:dyDescent="0.35">
      <c r="A142" s="92"/>
      <c r="B142" s="99"/>
      <c r="C142" s="99"/>
      <c r="D142" s="99"/>
      <c r="E142" s="100"/>
      <c r="F142" s="92"/>
      <c r="G142" s="93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ht="14.25" customHeight="1" x14ac:dyDescent="0.35">
      <c r="A143" s="92"/>
      <c r="B143" s="99"/>
      <c r="C143" s="99"/>
      <c r="D143" s="99"/>
      <c r="E143" s="100"/>
      <c r="F143" s="92"/>
      <c r="G143" s="93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ht="14.25" customHeight="1" x14ac:dyDescent="0.35">
      <c r="A144" s="92"/>
      <c r="B144" s="99"/>
      <c r="C144" s="99"/>
      <c r="D144" s="99"/>
      <c r="E144" s="100"/>
      <c r="F144" s="92"/>
      <c r="G144" s="93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ht="14.25" customHeight="1" x14ac:dyDescent="0.35">
      <c r="A145" s="92"/>
      <c r="B145" s="99"/>
      <c r="C145" s="99"/>
      <c r="D145" s="99"/>
      <c r="E145" s="100"/>
      <c r="F145" s="92"/>
      <c r="G145" s="93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ht="14.25" customHeight="1" x14ac:dyDescent="0.35">
      <c r="A146" s="92"/>
      <c r="B146" s="99"/>
      <c r="C146" s="99"/>
      <c r="D146" s="99"/>
      <c r="E146" s="100"/>
      <c r="F146" s="92"/>
      <c r="G146" s="93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ht="14.25" customHeight="1" x14ac:dyDescent="0.35">
      <c r="A147" s="92"/>
      <c r="B147" s="99"/>
      <c r="C147" s="99"/>
      <c r="D147" s="99"/>
      <c r="E147" s="100"/>
      <c r="F147" s="92"/>
      <c r="G147" s="93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ht="14.25" customHeight="1" x14ac:dyDescent="0.35">
      <c r="A148" s="92"/>
      <c r="B148" s="99"/>
      <c r="C148" s="99"/>
      <c r="D148" s="99"/>
      <c r="E148" s="100"/>
      <c r="F148" s="92"/>
      <c r="G148" s="93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ht="14.25" customHeight="1" x14ac:dyDescent="0.35">
      <c r="A149" s="92"/>
      <c r="B149" s="99"/>
      <c r="C149" s="99"/>
      <c r="D149" s="99"/>
      <c r="E149" s="100"/>
      <c r="F149" s="92"/>
      <c r="G149" s="93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ht="14.25" customHeight="1" x14ac:dyDescent="0.35">
      <c r="A150" s="92"/>
      <c r="B150" s="99"/>
      <c r="C150" s="99"/>
      <c r="D150" s="99"/>
      <c r="E150" s="100"/>
      <c r="F150" s="92"/>
      <c r="G150" s="93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ht="14.25" customHeight="1" x14ac:dyDescent="0.35">
      <c r="A151" s="92"/>
      <c r="B151" s="99"/>
      <c r="C151" s="99"/>
      <c r="D151" s="99"/>
      <c r="E151" s="100"/>
      <c r="F151" s="92"/>
      <c r="G151" s="93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ht="14.25" customHeight="1" x14ac:dyDescent="0.35">
      <c r="A152" s="92"/>
      <c r="B152" s="99"/>
      <c r="C152" s="99"/>
      <c r="D152" s="99"/>
      <c r="E152" s="100"/>
      <c r="F152" s="92"/>
      <c r="G152" s="93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ht="14.25" customHeight="1" x14ac:dyDescent="0.35">
      <c r="A153" s="92"/>
      <c r="B153" s="99"/>
      <c r="C153" s="99"/>
      <c r="D153" s="99"/>
      <c r="E153" s="100"/>
      <c r="F153" s="92"/>
      <c r="G153" s="93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4.25" customHeight="1" x14ac:dyDescent="0.35">
      <c r="A154" s="92"/>
      <c r="B154" s="99"/>
      <c r="C154" s="99"/>
      <c r="D154" s="99"/>
      <c r="E154" s="100"/>
      <c r="F154" s="92"/>
      <c r="G154" s="93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ht="14.25" customHeight="1" x14ac:dyDescent="0.35">
      <c r="A155" s="92"/>
      <c r="B155" s="99"/>
      <c r="C155" s="99"/>
      <c r="D155" s="99"/>
      <c r="E155" s="100"/>
      <c r="F155" s="92"/>
      <c r="G155" s="93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ht="14.25" customHeight="1" x14ac:dyDescent="0.35">
      <c r="A156" s="92"/>
      <c r="B156" s="99"/>
      <c r="C156" s="99"/>
      <c r="D156" s="99"/>
      <c r="E156" s="100"/>
      <c r="F156" s="92"/>
      <c r="G156" s="93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ht="14.25" customHeight="1" x14ac:dyDescent="0.35">
      <c r="A157" s="92"/>
      <c r="B157" s="99"/>
      <c r="C157" s="99"/>
      <c r="D157" s="99"/>
      <c r="E157" s="100"/>
      <c r="F157" s="92"/>
      <c r="G157" s="93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ht="14.25" customHeight="1" x14ac:dyDescent="0.35">
      <c r="A158" s="92"/>
      <c r="B158" s="99"/>
      <c r="C158" s="99"/>
      <c r="D158" s="99"/>
      <c r="E158" s="100"/>
      <c r="F158" s="92"/>
      <c r="G158" s="93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1:26" ht="14.25" customHeight="1" x14ac:dyDescent="0.35">
      <c r="A159" s="92"/>
      <c r="B159" s="99"/>
      <c r="C159" s="99"/>
      <c r="D159" s="99"/>
      <c r="E159" s="100"/>
      <c r="F159" s="92"/>
      <c r="G159" s="93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ht="14.25" customHeight="1" x14ac:dyDescent="0.35">
      <c r="A160" s="92"/>
      <c r="B160" s="99"/>
      <c r="C160" s="99"/>
      <c r="D160" s="99"/>
      <c r="E160" s="100"/>
      <c r="F160" s="92"/>
      <c r="G160" s="93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ht="14.25" customHeight="1" x14ac:dyDescent="0.35">
      <c r="A161" s="92"/>
      <c r="B161" s="99"/>
      <c r="C161" s="99"/>
      <c r="D161" s="99"/>
      <c r="E161" s="100"/>
      <c r="F161" s="92"/>
      <c r="G161" s="93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ht="14.25" customHeight="1" x14ac:dyDescent="0.35">
      <c r="A162" s="92"/>
      <c r="B162" s="99"/>
      <c r="C162" s="99"/>
      <c r="D162" s="99"/>
      <c r="E162" s="100"/>
      <c r="F162" s="92"/>
      <c r="G162" s="93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ht="14.25" customHeight="1" x14ac:dyDescent="0.35">
      <c r="A163" s="92"/>
      <c r="B163" s="99"/>
      <c r="C163" s="99"/>
      <c r="D163" s="99"/>
      <c r="E163" s="100"/>
      <c r="F163" s="92"/>
      <c r="G163" s="93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1:26" ht="14.25" customHeight="1" x14ac:dyDescent="0.35">
      <c r="A164" s="92"/>
      <c r="B164" s="99"/>
      <c r="C164" s="99"/>
      <c r="D164" s="99"/>
      <c r="E164" s="100"/>
      <c r="F164" s="92"/>
      <c r="G164" s="93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1:26" ht="14.25" customHeight="1" x14ac:dyDescent="0.35">
      <c r="A165" s="92"/>
      <c r="B165" s="99"/>
      <c r="C165" s="99"/>
      <c r="D165" s="99"/>
      <c r="E165" s="100"/>
      <c r="F165" s="92"/>
      <c r="G165" s="93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ht="14.25" customHeight="1" x14ac:dyDescent="0.35">
      <c r="A166" s="92"/>
      <c r="B166" s="99"/>
      <c r="C166" s="99"/>
      <c r="D166" s="99"/>
      <c r="E166" s="100"/>
      <c r="F166" s="92"/>
      <c r="G166" s="93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ht="14.25" customHeight="1" x14ac:dyDescent="0.35">
      <c r="A167" s="92"/>
      <c r="B167" s="99"/>
      <c r="C167" s="99"/>
      <c r="D167" s="99"/>
      <c r="E167" s="100"/>
      <c r="F167" s="92"/>
      <c r="G167" s="93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ht="14.25" customHeight="1" x14ac:dyDescent="0.35">
      <c r="A168" s="92"/>
      <c r="B168" s="99"/>
      <c r="C168" s="99"/>
      <c r="D168" s="99"/>
      <c r="E168" s="100"/>
      <c r="F168" s="92"/>
      <c r="G168" s="93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ht="14.25" customHeight="1" x14ac:dyDescent="0.35">
      <c r="A169" s="92"/>
      <c r="B169" s="99"/>
      <c r="C169" s="99"/>
      <c r="D169" s="99"/>
      <c r="E169" s="100"/>
      <c r="F169" s="92"/>
      <c r="G169" s="93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ht="14.25" customHeight="1" x14ac:dyDescent="0.35">
      <c r="A170" s="92"/>
      <c r="B170" s="99"/>
      <c r="C170" s="99"/>
      <c r="D170" s="99"/>
      <c r="E170" s="100"/>
      <c r="F170" s="92"/>
      <c r="G170" s="93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ht="14.25" customHeight="1" x14ac:dyDescent="0.35">
      <c r="A171" s="92"/>
      <c r="B171" s="99"/>
      <c r="C171" s="99"/>
      <c r="D171" s="99"/>
      <c r="E171" s="100"/>
      <c r="F171" s="92"/>
      <c r="G171" s="93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ht="14.25" customHeight="1" x14ac:dyDescent="0.35">
      <c r="A172" s="92"/>
      <c r="B172" s="99"/>
      <c r="C172" s="99"/>
      <c r="D172" s="99"/>
      <c r="E172" s="100"/>
      <c r="F172" s="92"/>
      <c r="G172" s="93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1:26" ht="14.25" customHeight="1" x14ac:dyDescent="0.35">
      <c r="A173" s="92"/>
      <c r="B173" s="99"/>
      <c r="C173" s="99"/>
      <c r="D173" s="99"/>
      <c r="E173" s="100"/>
      <c r="F173" s="92"/>
      <c r="G173" s="93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ht="14.25" customHeight="1" x14ac:dyDescent="0.35">
      <c r="A174" s="92"/>
      <c r="B174" s="99"/>
      <c r="C174" s="99"/>
      <c r="D174" s="99"/>
      <c r="E174" s="100"/>
      <c r="F174" s="92"/>
      <c r="G174" s="93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ht="14.25" customHeight="1" x14ac:dyDescent="0.35">
      <c r="A175" s="92"/>
      <c r="B175" s="99"/>
      <c r="C175" s="99"/>
      <c r="D175" s="99"/>
      <c r="E175" s="100"/>
      <c r="F175" s="92"/>
      <c r="G175" s="93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ht="14.25" customHeight="1" x14ac:dyDescent="0.35">
      <c r="A176" s="92"/>
      <c r="B176" s="99"/>
      <c r="C176" s="99"/>
      <c r="D176" s="99"/>
      <c r="E176" s="100"/>
      <c r="F176" s="92"/>
      <c r="G176" s="93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ht="14.25" customHeight="1" x14ac:dyDescent="0.35">
      <c r="A177" s="92"/>
      <c r="B177" s="99"/>
      <c r="C177" s="99"/>
      <c r="D177" s="99"/>
      <c r="E177" s="100"/>
      <c r="F177" s="92"/>
      <c r="G177" s="93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ht="14.25" customHeight="1" x14ac:dyDescent="0.35">
      <c r="A178" s="92"/>
      <c r="B178" s="99"/>
      <c r="C178" s="99"/>
      <c r="D178" s="99"/>
      <c r="E178" s="100"/>
      <c r="F178" s="92"/>
      <c r="G178" s="93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ht="14.25" customHeight="1" x14ac:dyDescent="0.35">
      <c r="A179" s="92"/>
      <c r="B179" s="99"/>
      <c r="C179" s="99"/>
      <c r="D179" s="99"/>
      <c r="E179" s="100"/>
      <c r="F179" s="92"/>
      <c r="G179" s="93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ht="14.25" customHeight="1" x14ac:dyDescent="0.35">
      <c r="A180" s="92"/>
      <c r="B180" s="99"/>
      <c r="C180" s="99"/>
      <c r="D180" s="99"/>
      <c r="E180" s="100"/>
      <c r="F180" s="92"/>
      <c r="G180" s="93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1:26" ht="14.25" customHeight="1" x14ac:dyDescent="0.35">
      <c r="A181" s="92"/>
      <c r="B181" s="99"/>
      <c r="C181" s="99"/>
      <c r="D181" s="99"/>
      <c r="E181" s="100"/>
      <c r="F181" s="92"/>
      <c r="G181" s="93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ht="14.25" customHeight="1" x14ac:dyDescent="0.35">
      <c r="A182" s="92"/>
      <c r="B182" s="99"/>
      <c r="C182" s="99"/>
      <c r="D182" s="99"/>
      <c r="E182" s="100"/>
      <c r="F182" s="92"/>
      <c r="G182" s="93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1:26" ht="14.25" customHeight="1" x14ac:dyDescent="0.35">
      <c r="A183" s="92"/>
      <c r="B183" s="99"/>
      <c r="C183" s="99"/>
      <c r="D183" s="99"/>
      <c r="E183" s="100"/>
      <c r="F183" s="92"/>
      <c r="G183" s="93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1:26" ht="14.25" customHeight="1" x14ac:dyDescent="0.35">
      <c r="A184" s="92"/>
      <c r="B184" s="99"/>
      <c r="C184" s="99"/>
      <c r="D184" s="99"/>
      <c r="E184" s="100"/>
      <c r="F184" s="92"/>
      <c r="G184" s="93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ht="14.25" customHeight="1" x14ac:dyDescent="0.35">
      <c r="A185" s="92"/>
      <c r="B185" s="99"/>
      <c r="C185" s="99"/>
      <c r="D185" s="99"/>
      <c r="E185" s="100"/>
      <c r="F185" s="92"/>
      <c r="G185" s="93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ht="14.25" customHeight="1" x14ac:dyDescent="0.35">
      <c r="A186" s="92"/>
      <c r="B186" s="99"/>
      <c r="C186" s="99"/>
      <c r="D186" s="99"/>
      <c r="E186" s="100"/>
      <c r="F186" s="92"/>
      <c r="G186" s="93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ht="14.25" customHeight="1" x14ac:dyDescent="0.35">
      <c r="A187" s="92"/>
      <c r="B187" s="99"/>
      <c r="C187" s="99"/>
      <c r="D187" s="99"/>
      <c r="E187" s="100"/>
      <c r="F187" s="92"/>
      <c r="G187" s="93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ht="14.25" customHeight="1" x14ac:dyDescent="0.35">
      <c r="A188" s="92"/>
      <c r="B188" s="99"/>
      <c r="C188" s="99"/>
      <c r="D188" s="99"/>
      <c r="E188" s="100"/>
      <c r="F188" s="92"/>
      <c r="G188" s="93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ht="14.25" customHeight="1" x14ac:dyDescent="0.35">
      <c r="A189" s="92"/>
      <c r="B189" s="99"/>
      <c r="C189" s="99"/>
      <c r="D189" s="99"/>
      <c r="E189" s="100"/>
      <c r="F189" s="92"/>
      <c r="G189" s="93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ht="14.25" customHeight="1" x14ac:dyDescent="0.35">
      <c r="A190" s="92"/>
      <c r="B190" s="99"/>
      <c r="C190" s="99"/>
      <c r="D190" s="99"/>
      <c r="E190" s="100"/>
      <c r="F190" s="92"/>
      <c r="G190" s="93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ht="14.25" customHeight="1" x14ac:dyDescent="0.35">
      <c r="A191" s="92"/>
      <c r="B191" s="99"/>
      <c r="C191" s="99"/>
      <c r="D191" s="99"/>
      <c r="E191" s="100"/>
      <c r="F191" s="92"/>
      <c r="G191" s="93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ht="14.25" customHeight="1" x14ac:dyDescent="0.35">
      <c r="A192" s="92"/>
      <c r="B192" s="99"/>
      <c r="C192" s="99"/>
      <c r="D192" s="99"/>
      <c r="E192" s="100"/>
      <c r="F192" s="92"/>
      <c r="G192" s="93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ht="14.25" customHeight="1" x14ac:dyDescent="0.35">
      <c r="A193" s="92"/>
      <c r="B193" s="99"/>
      <c r="C193" s="99"/>
      <c r="D193" s="99"/>
      <c r="E193" s="100"/>
      <c r="F193" s="92"/>
      <c r="G193" s="93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ht="14.25" customHeight="1" x14ac:dyDescent="0.35">
      <c r="A194" s="92"/>
      <c r="B194" s="99"/>
      <c r="C194" s="99"/>
      <c r="D194" s="99"/>
      <c r="E194" s="100"/>
      <c r="F194" s="92"/>
      <c r="G194" s="93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ht="14.25" customHeight="1" x14ac:dyDescent="0.35">
      <c r="A195" s="92"/>
      <c r="B195" s="99"/>
      <c r="C195" s="99"/>
      <c r="D195" s="99"/>
      <c r="E195" s="100"/>
      <c r="F195" s="92"/>
      <c r="G195" s="93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ht="14.25" customHeight="1" x14ac:dyDescent="0.35">
      <c r="A196" s="92"/>
      <c r="B196" s="99"/>
      <c r="C196" s="99"/>
      <c r="D196" s="99"/>
      <c r="E196" s="100"/>
      <c r="F196" s="92"/>
      <c r="G196" s="93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ht="14.25" customHeight="1" x14ac:dyDescent="0.35">
      <c r="A197" s="92"/>
      <c r="B197" s="99"/>
      <c r="C197" s="99"/>
      <c r="D197" s="99"/>
      <c r="E197" s="100"/>
      <c r="F197" s="92"/>
      <c r="G197" s="93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ht="14.25" customHeight="1" x14ac:dyDescent="0.35">
      <c r="A198" s="92"/>
      <c r="B198" s="99"/>
      <c r="C198" s="99"/>
      <c r="D198" s="99"/>
      <c r="E198" s="100"/>
      <c r="F198" s="92"/>
      <c r="G198" s="93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ht="14.25" customHeight="1" x14ac:dyDescent="0.35">
      <c r="A199" s="92"/>
      <c r="B199" s="99"/>
      <c r="C199" s="99"/>
      <c r="D199" s="99"/>
      <c r="E199" s="100"/>
      <c r="F199" s="92"/>
      <c r="G199" s="93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1:26" ht="14.25" customHeight="1" x14ac:dyDescent="0.35">
      <c r="A200" s="92"/>
      <c r="B200" s="99"/>
      <c r="C200" s="99"/>
      <c r="D200" s="99"/>
      <c r="E200" s="100"/>
      <c r="F200" s="92"/>
      <c r="G200" s="93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ht="14.25" customHeight="1" x14ac:dyDescent="0.35">
      <c r="A201" s="92"/>
      <c r="B201" s="99"/>
      <c r="C201" s="99"/>
      <c r="D201" s="99"/>
      <c r="E201" s="100"/>
      <c r="F201" s="92"/>
      <c r="G201" s="93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ht="14.25" customHeight="1" x14ac:dyDescent="0.35">
      <c r="A202" s="92"/>
      <c r="B202" s="99"/>
      <c r="C202" s="99"/>
      <c r="D202" s="99"/>
      <c r="E202" s="100"/>
      <c r="F202" s="92"/>
      <c r="G202" s="93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ht="14.25" customHeight="1" x14ac:dyDescent="0.35">
      <c r="A203" s="92"/>
      <c r="B203" s="99"/>
      <c r="C203" s="99"/>
      <c r="D203" s="99"/>
      <c r="E203" s="100"/>
      <c r="F203" s="92"/>
      <c r="G203" s="93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ht="14.25" customHeight="1" x14ac:dyDescent="0.35">
      <c r="A204" s="92"/>
      <c r="B204" s="99"/>
      <c r="C204" s="99"/>
      <c r="D204" s="99"/>
      <c r="E204" s="100"/>
      <c r="F204" s="92"/>
      <c r="G204" s="93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ht="14.25" customHeight="1" x14ac:dyDescent="0.35">
      <c r="A205" s="92"/>
      <c r="B205" s="99"/>
      <c r="C205" s="99"/>
      <c r="D205" s="99"/>
      <c r="E205" s="100"/>
      <c r="F205" s="92"/>
      <c r="G205" s="93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ht="14.25" customHeight="1" x14ac:dyDescent="0.35">
      <c r="A206" s="92"/>
      <c r="B206" s="99"/>
      <c r="C206" s="99"/>
      <c r="D206" s="99"/>
      <c r="E206" s="100"/>
      <c r="F206" s="92"/>
      <c r="G206" s="93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1:26" ht="14.25" customHeight="1" x14ac:dyDescent="0.35">
      <c r="A207" s="92"/>
      <c r="B207" s="99"/>
      <c r="C207" s="99"/>
      <c r="D207" s="99"/>
      <c r="E207" s="100"/>
      <c r="F207" s="92"/>
      <c r="G207" s="93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ht="14.25" customHeight="1" x14ac:dyDescent="0.35">
      <c r="A208" s="92"/>
      <c r="B208" s="99"/>
      <c r="C208" s="99"/>
      <c r="D208" s="99"/>
      <c r="E208" s="100"/>
      <c r="F208" s="92"/>
      <c r="G208" s="93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ht="14.25" customHeight="1" x14ac:dyDescent="0.35">
      <c r="A209" s="92"/>
      <c r="B209" s="99"/>
      <c r="C209" s="99"/>
      <c r="D209" s="99"/>
      <c r="E209" s="100"/>
      <c r="F209" s="92"/>
      <c r="G209" s="93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ht="14.25" customHeight="1" x14ac:dyDescent="0.35">
      <c r="A210" s="92"/>
      <c r="B210" s="99"/>
      <c r="C210" s="99"/>
      <c r="D210" s="99"/>
      <c r="E210" s="100"/>
      <c r="F210" s="92"/>
      <c r="G210" s="93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ht="14.25" customHeight="1" x14ac:dyDescent="0.35">
      <c r="A211" s="92"/>
      <c r="B211" s="99"/>
      <c r="C211" s="99"/>
      <c r="D211" s="99"/>
      <c r="E211" s="100"/>
      <c r="F211" s="92"/>
      <c r="G211" s="93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1:26" ht="14.25" customHeight="1" x14ac:dyDescent="0.35">
      <c r="A212" s="92"/>
      <c r="B212" s="99"/>
      <c r="C212" s="99"/>
      <c r="D212" s="99"/>
      <c r="E212" s="100"/>
      <c r="F212" s="92"/>
      <c r="G212" s="93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ht="14.25" customHeight="1" x14ac:dyDescent="0.35">
      <c r="A213" s="92"/>
      <c r="B213" s="99"/>
      <c r="C213" s="99"/>
      <c r="D213" s="99"/>
      <c r="E213" s="100"/>
      <c r="F213" s="92"/>
      <c r="G213" s="93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ht="14.25" customHeight="1" x14ac:dyDescent="0.35">
      <c r="A214" s="92"/>
      <c r="B214" s="99"/>
      <c r="C214" s="99"/>
      <c r="D214" s="99"/>
      <c r="E214" s="100"/>
      <c r="F214" s="92"/>
      <c r="G214" s="93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ht="14.25" customHeight="1" x14ac:dyDescent="0.35">
      <c r="A215" s="92"/>
      <c r="B215" s="99"/>
      <c r="C215" s="99"/>
      <c r="D215" s="99"/>
      <c r="E215" s="100"/>
      <c r="F215" s="92"/>
      <c r="G215" s="93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ht="14.25" customHeight="1" x14ac:dyDescent="0.35">
      <c r="A216" s="92"/>
      <c r="B216" s="99"/>
      <c r="C216" s="99"/>
      <c r="D216" s="99"/>
      <c r="E216" s="100"/>
      <c r="F216" s="92"/>
      <c r="G216" s="93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ht="14.25" customHeight="1" x14ac:dyDescent="0.35">
      <c r="A217" s="92"/>
      <c r="B217" s="99"/>
      <c r="C217" s="99"/>
      <c r="D217" s="99"/>
      <c r="E217" s="100"/>
      <c r="F217" s="92"/>
      <c r="G217" s="93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ht="14.25" customHeight="1" x14ac:dyDescent="0.35">
      <c r="A218" s="92"/>
      <c r="B218" s="99"/>
      <c r="C218" s="99"/>
      <c r="D218" s="99"/>
      <c r="E218" s="100"/>
      <c r="F218" s="92"/>
      <c r="G218" s="93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ht="14.25" customHeight="1" x14ac:dyDescent="0.35">
      <c r="A219" s="92"/>
      <c r="B219" s="99"/>
      <c r="C219" s="99"/>
      <c r="D219" s="99"/>
      <c r="E219" s="100"/>
      <c r="F219" s="92"/>
      <c r="G219" s="93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ht="14.25" customHeight="1" x14ac:dyDescent="0.35">
      <c r="A220" s="92"/>
      <c r="B220" s="99"/>
      <c r="C220" s="99"/>
      <c r="D220" s="99"/>
      <c r="E220" s="100"/>
      <c r="F220" s="92"/>
      <c r="G220" s="93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ht="14.25" customHeight="1" x14ac:dyDescent="0.35">
      <c r="A221" s="92"/>
      <c r="B221" s="99"/>
      <c r="C221" s="99"/>
      <c r="D221" s="99"/>
      <c r="E221" s="100"/>
      <c r="F221" s="92"/>
      <c r="G221" s="93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1:26" ht="14.25" customHeight="1" x14ac:dyDescent="0.35">
      <c r="A222" s="92"/>
      <c r="B222" s="99"/>
      <c r="C222" s="99"/>
      <c r="D222" s="99"/>
      <c r="E222" s="100"/>
      <c r="F222" s="92"/>
      <c r="G222" s="93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spans="1:26" ht="14.25" customHeight="1" x14ac:dyDescent="0.35">
      <c r="A223" s="92"/>
      <c r="B223" s="99"/>
      <c r="C223" s="99"/>
      <c r="D223" s="99"/>
      <c r="E223" s="100"/>
      <c r="F223" s="92"/>
      <c r="G223" s="93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spans="1:26" ht="14.25" customHeight="1" x14ac:dyDescent="0.35">
      <c r="A224" s="92"/>
      <c r="B224" s="99"/>
      <c r="C224" s="99"/>
      <c r="D224" s="99"/>
      <c r="E224" s="100"/>
      <c r="F224" s="92"/>
      <c r="G224" s="93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spans="1:26" ht="14.25" customHeight="1" x14ac:dyDescent="0.35">
      <c r="A225" s="92"/>
      <c r="B225" s="99"/>
      <c r="C225" s="99"/>
      <c r="D225" s="99"/>
      <c r="E225" s="100"/>
      <c r="F225" s="92"/>
      <c r="G225" s="93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spans="1:26" ht="14.25" customHeight="1" x14ac:dyDescent="0.35">
      <c r="A226" s="92"/>
      <c r="B226" s="99"/>
      <c r="C226" s="99"/>
      <c r="D226" s="99"/>
      <c r="E226" s="100"/>
      <c r="F226" s="92"/>
      <c r="G226" s="93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spans="1:26" ht="14.25" customHeight="1" x14ac:dyDescent="0.35">
      <c r="A227" s="92"/>
      <c r="B227" s="99"/>
      <c r="C227" s="99"/>
      <c r="D227" s="99"/>
      <c r="E227" s="100"/>
      <c r="F227" s="92"/>
      <c r="G227" s="93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spans="1:26" ht="14.25" customHeight="1" x14ac:dyDescent="0.35">
      <c r="A228" s="92"/>
      <c r="B228" s="99"/>
      <c r="C228" s="99"/>
      <c r="D228" s="99"/>
      <c r="E228" s="100"/>
      <c r="F228" s="92"/>
      <c r="G228" s="93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spans="1:26" ht="14.25" customHeight="1" x14ac:dyDescent="0.35">
      <c r="A229" s="92"/>
      <c r="B229" s="99"/>
      <c r="C229" s="99"/>
      <c r="D229" s="99"/>
      <c r="E229" s="100"/>
      <c r="F229" s="92"/>
      <c r="G229" s="93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spans="1:26" ht="14.25" customHeight="1" x14ac:dyDescent="0.35">
      <c r="A230" s="92"/>
      <c r="B230" s="99"/>
      <c r="C230" s="99"/>
      <c r="D230" s="99"/>
      <c r="E230" s="100"/>
      <c r="F230" s="92"/>
      <c r="G230" s="93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spans="1:26" ht="14.25" customHeight="1" x14ac:dyDescent="0.35">
      <c r="A231" s="92"/>
      <c r="B231" s="99"/>
      <c r="C231" s="99"/>
      <c r="D231" s="99"/>
      <c r="E231" s="100"/>
      <c r="F231" s="92"/>
      <c r="G231" s="93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spans="1:26" ht="14.25" customHeight="1" x14ac:dyDescent="0.35">
      <c r="A232" s="92"/>
      <c r="B232" s="99"/>
      <c r="C232" s="99"/>
      <c r="D232" s="99"/>
      <c r="E232" s="100"/>
      <c r="F232" s="92"/>
      <c r="G232" s="93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spans="1:26" ht="14.25" customHeight="1" x14ac:dyDescent="0.35">
      <c r="A233" s="92"/>
      <c r="B233" s="99"/>
      <c r="C233" s="99"/>
      <c r="D233" s="99"/>
      <c r="E233" s="100"/>
      <c r="F233" s="92"/>
      <c r="G233" s="93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spans="1:26" ht="14.25" customHeight="1" x14ac:dyDescent="0.35">
      <c r="A234" s="92"/>
      <c r="B234" s="99"/>
      <c r="C234" s="99"/>
      <c r="D234" s="99"/>
      <c r="E234" s="100"/>
      <c r="F234" s="92"/>
      <c r="G234" s="93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spans="1:26" ht="14.25" customHeight="1" x14ac:dyDescent="0.35">
      <c r="A235" s="92"/>
      <c r="B235" s="99"/>
      <c r="C235" s="99"/>
      <c r="D235" s="99"/>
      <c r="E235" s="100"/>
      <c r="F235" s="92"/>
      <c r="G235" s="93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spans="1:26" ht="14.25" customHeight="1" x14ac:dyDescent="0.35">
      <c r="A236" s="92"/>
      <c r="B236" s="99"/>
      <c r="C236" s="99"/>
      <c r="D236" s="99"/>
      <c r="E236" s="100"/>
      <c r="F236" s="92"/>
      <c r="G236" s="93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spans="1:26" ht="14.25" customHeight="1" x14ac:dyDescent="0.35">
      <c r="A237" s="92"/>
      <c r="B237" s="99"/>
      <c r="C237" s="99"/>
      <c r="D237" s="99"/>
      <c r="E237" s="100"/>
      <c r="F237" s="92"/>
      <c r="G237" s="93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spans="1:26" ht="14.25" customHeight="1" x14ac:dyDescent="0.35">
      <c r="A238" s="87"/>
      <c r="B238" s="104"/>
      <c r="C238" s="104"/>
      <c r="D238" s="104"/>
      <c r="E238" s="88"/>
      <c r="F238" s="87"/>
      <c r="G238" s="105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4.25" customHeight="1" x14ac:dyDescent="0.35">
      <c r="A239" s="87"/>
      <c r="B239" s="104"/>
      <c r="C239" s="104"/>
      <c r="D239" s="104"/>
      <c r="E239" s="88"/>
      <c r="F239" s="87"/>
      <c r="G239" s="105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4.25" customHeight="1" x14ac:dyDescent="0.35">
      <c r="A240" s="87"/>
      <c r="B240" s="104"/>
      <c r="C240" s="104"/>
      <c r="D240" s="104"/>
      <c r="E240" s="88"/>
      <c r="F240" s="87"/>
      <c r="G240" s="105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4.25" customHeight="1" x14ac:dyDescent="0.35">
      <c r="A241" s="87"/>
      <c r="B241" s="104"/>
      <c r="C241" s="104"/>
      <c r="D241" s="104"/>
      <c r="E241" s="88"/>
      <c r="F241" s="87"/>
      <c r="G241" s="105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4.25" customHeight="1" x14ac:dyDescent="0.35">
      <c r="A242" s="87"/>
      <c r="B242" s="104"/>
      <c r="C242" s="104"/>
      <c r="D242" s="104"/>
      <c r="E242" s="88"/>
      <c r="F242" s="87"/>
      <c r="G242" s="105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4.25" customHeight="1" x14ac:dyDescent="0.35">
      <c r="A243" s="87"/>
      <c r="B243" s="104"/>
      <c r="C243" s="104"/>
      <c r="D243" s="104"/>
      <c r="E243" s="88"/>
      <c r="F243" s="87"/>
      <c r="G243" s="105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4.25" customHeight="1" x14ac:dyDescent="0.35">
      <c r="A244" s="87"/>
      <c r="B244" s="104"/>
      <c r="C244" s="104"/>
      <c r="D244" s="104"/>
      <c r="E244" s="88"/>
      <c r="F244" s="87"/>
      <c r="G244" s="105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4.25" customHeight="1" x14ac:dyDescent="0.35">
      <c r="A245" s="87"/>
      <c r="B245" s="104"/>
      <c r="C245" s="104"/>
      <c r="D245" s="104"/>
      <c r="E245" s="88"/>
      <c r="F245" s="87"/>
      <c r="G245" s="105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4.25" customHeight="1" x14ac:dyDescent="0.35">
      <c r="A246" s="87"/>
      <c r="B246" s="104"/>
      <c r="C246" s="104"/>
      <c r="D246" s="104"/>
      <c r="E246" s="88"/>
      <c r="F246" s="87"/>
      <c r="G246" s="105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4.25" customHeight="1" x14ac:dyDescent="0.35">
      <c r="A247" s="87"/>
      <c r="B247" s="104"/>
      <c r="C247" s="104"/>
      <c r="D247" s="104"/>
      <c r="E247" s="88"/>
      <c r="F247" s="87"/>
      <c r="G247" s="105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4.25" customHeight="1" x14ac:dyDescent="0.35">
      <c r="A248" s="87"/>
      <c r="B248" s="104"/>
      <c r="C248" s="104"/>
      <c r="D248" s="104"/>
      <c r="E248" s="88"/>
      <c r="F248" s="87"/>
      <c r="G248" s="105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4.25" customHeight="1" x14ac:dyDescent="0.35">
      <c r="A249" s="87"/>
      <c r="B249" s="104"/>
      <c r="C249" s="104"/>
      <c r="D249" s="104"/>
      <c r="E249" s="88"/>
      <c r="F249" s="87"/>
      <c r="G249" s="105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4.25" customHeight="1" x14ac:dyDescent="0.35">
      <c r="A250" s="87"/>
      <c r="B250" s="104"/>
      <c r="C250" s="104"/>
      <c r="D250" s="104"/>
      <c r="E250" s="88"/>
      <c r="F250" s="87"/>
      <c r="G250" s="105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4.25" customHeight="1" x14ac:dyDescent="0.35">
      <c r="A251" s="87"/>
      <c r="B251" s="104"/>
      <c r="C251" s="104"/>
      <c r="D251" s="104"/>
      <c r="E251" s="88"/>
      <c r="F251" s="87"/>
      <c r="G251" s="105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4.25" customHeight="1" x14ac:dyDescent="0.35">
      <c r="A252" s="87"/>
      <c r="B252" s="104"/>
      <c r="C252" s="104"/>
      <c r="D252" s="104"/>
      <c r="E252" s="88"/>
      <c r="F252" s="87"/>
      <c r="G252" s="105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4.25" customHeight="1" x14ac:dyDescent="0.35">
      <c r="A253" s="87"/>
      <c r="B253" s="104"/>
      <c r="C253" s="104"/>
      <c r="D253" s="104"/>
      <c r="E253" s="88"/>
      <c r="F253" s="87"/>
      <c r="G253" s="105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4.25" customHeight="1" x14ac:dyDescent="0.35">
      <c r="A254" s="87"/>
      <c r="B254" s="104"/>
      <c r="C254" s="104"/>
      <c r="D254" s="104"/>
      <c r="E254" s="88"/>
      <c r="F254" s="87"/>
      <c r="G254" s="105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4.25" customHeight="1" x14ac:dyDescent="0.35">
      <c r="A255" s="87"/>
      <c r="B255" s="104"/>
      <c r="C255" s="104"/>
      <c r="D255" s="104"/>
      <c r="E255" s="88"/>
      <c r="F255" s="87"/>
      <c r="G255" s="105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4.25" customHeight="1" x14ac:dyDescent="0.35">
      <c r="A256" s="87"/>
      <c r="B256" s="104"/>
      <c r="C256" s="104"/>
      <c r="D256" s="104"/>
      <c r="E256" s="88"/>
      <c r="F256" s="87"/>
      <c r="G256" s="105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4.25" customHeight="1" x14ac:dyDescent="0.35">
      <c r="A257" s="87"/>
      <c r="B257" s="104"/>
      <c r="C257" s="104"/>
      <c r="D257" s="104"/>
      <c r="E257" s="88"/>
      <c r="F257" s="87"/>
      <c r="G257" s="105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4.25" customHeight="1" x14ac:dyDescent="0.35">
      <c r="A258" s="87"/>
      <c r="B258" s="104"/>
      <c r="C258" s="104"/>
      <c r="D258" s="104"/>
      <c r="E258" s="88"/>
      <c r="F258" s="87"/>
      <c r="G258" s="105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4.25" customHeight="1" x14ac:dyDescent="0.35">
      <c r="A259" s="87"/>
      <c r="B259" s="104"/>
      <c r="C259" s="104"/>
      <c r="D259" s="104"/>
      <c r="E259" s="88"/>
      <c r="F259" s="87"/>
      <c r="G259" s="105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4.25" customHeight="1" x14ac:dyDescent="0.35">
      <c r="A260" s="87"/>
      <c r="B260" s="104"/>
      <c r="C260" s="104"/>
      <c r="D260" s="104"/>
      <c r="E260" s="88"/>
      <c r="F260" s="87"/>
      <c r="G260" s="105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4.25" customHeight="1" x14ac:dyDescent="0.35">
      <c r="A261" s="87"/>
      <c r="B261" s="104"/>
      <c r="C261" s="104"/>
      <c r="D261" s="104"/>
      <c r="E261" s="88"/>
      <c r="F261" s="87"/>
      <c r="G261" s="105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5.75" customHeight="1" x14ac:dyDescent="0.35"/>
    <row r="263" spans="1:26" ht="15.75" customHeight="1" x14ac:dyDescent="0.35"/>
    <row r="264" spans="1:26" ht="15.75" customHeight="1" x14ac:dyDescent="0.35"/>
    <row r="265" spans="1:26" ht="15.75" customHeight="1" x14ac:dyDescent="0.35"/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</sheetData>
  <mergeCells count="18">
    <mergeCell ref="A1:G1"/>
    <mergeCell ref="A2:D2"/>
    <mergeCell ref="A3:D3"/>
    <mergeCell ref="A4:D4"/>
    <mergeCell ref="A5:D5"/>
    <mergeCell ref="A6:D6"/>
    <mergeCell ref="A7:F7"/>
    <mergeCell ref="A57:B57"/>
    <mergeCell ref="A59:C59"/>
    <mergeCell ref="A60:B60"/>
    <mergeCell ref="F51:F52"/>
    <mergeCell ref="A61:B61"/>
    <mergeCell ref="B51:B52"/>
    <mergeCell ref="C51:C52"/>
    <mergeCell ref="E51:E52"/>
    <mergeCell ref="A55:C55"/>
    <mergeCell ref="A56:B56"/>
    <mergeCell ref="D51:D52"/>
  </mergeCells>
  <hyperlinks>
    <hyperlink ref="G28" r:id="rId1" xr:uid="{2061B872-6E8E-4045-B16D-495847EFAA76}"/>
    <hyperlink ref="G31" r:id="rId2" xr:uid="{D91997BA-1689-4A09-8E22-AA26EFF13BEA}"/>
    <hyperlink ref="G34" r:id="rId3" xr:uid="{B6C819BB-B4EF-4768-AB83-FA29D9E79230}"/>
    <hyperlink ref="G11" r:id="rId4" xr:uid="{F523BA20-2BBD-4EF1-ABA0-4D632FB4ECF0}"/>
    <hyperlink ref="G16" r:id="rId5" xr:uid="{B27DB5DA-BFD1-4C19-9BDF-BC953A6C333F}"/>
  </hyperlinks>
  <pageMargins left="0.7" right="0.7" top="0.75" bottom="0.75" header="0.3" footer="0.3"/>
  <pageSetup paperSize="8" scale="72" fitToWidth="0" orientation="portrait" r:id="rId6"/>
  <headerFooter>
    <oddHeader>&amp;L004280 QUARTERLY FINANCIAL INFORMATION</oddHeader>
    <oddFooter>&amp;C 12_TEM_FinancialInformation_V1.0_20191023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989"/>
  <sheetViews>
    <sheetView topLeftCell="A69" workbookViewId="0">
      <selection activeCell="A49" sqref="A49:B49"/>
    </sheetView>
  </sheetViews>
  <sheetFormatPr defaultColWidth="14.453125" defaultRowHeight="15" customHeight="1" x14ac:dyDescent="0.3"/>
  <cols>
    <col min="1" max="1" width="43" style="125" customWidth="1"/>
    <col min="2" max="2" width="22.1796875" style="228" customWidth="1"/>
    <col min="3" max="3" width="41.7265625" style="125" customWidth="1"/>
    <col min="4" max="16384" width="14.453125" style="125"/>
  </cols>
  <sheetData>
    <row r="1" spans="1:3" ht="14.25" customHeight="1" x14ac:dyDescent="0.3">
      <c r="A1" s="391" t="s">
        <v>396</v>
      </c>
      <c r="B1" s="398"/>
      <c r="C1" s="212"/>
    </row>
    <row r="2" spans="1:3" ht="14.25" customHeight="1" x14ac:dyDescent="0.3">
      <c r="A2" s="213" t="s">
        <v>360</v>
      </c>
      <c r="B2" s="265" t="s">
        <v>496</v>
      </c>
      <c r="C2" s="215"/>
    </row>
    <row r="3" spans="1:3" ht="14.25" customHeight="1" x14ac:dyDescent="0.3">
      <c r="A3" s="213" t="s">
        <v>361</v>
      </c>
      <c r="B3" s="214" t="s">
        <v>460</v>
      </c>
      <c r="C3" s="215"/>
    </row>
    <row r="4" spans="1:3" ht="14.25" customHeight="1" x14ac:dyDescent="0.3">
      <c r="A4" s="213" t="s">
        <v>397</v>
      </c>
      <c r="B4" s="214" t="s">
        <v>461</v>
      </c>
      <c r="C4" s="215"/>
    </row>
    <row r="5" spans="1:3" ht="3" customHeight="1" x14ac:dyDescent="0.3">
      <c r="A5" s="399"/>
      <c r="B5" s="397"/>
      <c r="C5" s="215"/>
    </row>
    <row r="6" spans="1:3" ht="14.25" customHeight="1" x14ac:dyDescent="0.3">
      <c r="A6" s="138" t="s">
        <v>372</v>
      </c>
      <c r="B6" s="216" t="s">
        <v>366</v>
      </c>
    </row>
    <row r="7" spans="1:3" ht="42" x14ac:dyDescent="0.3">
      <c r="A7" s="143" t="s">
        <v>456</v>
      </c>
      <c r="B7" s="217">
        <f>SUM('Quarterly financial'!C51:C52)</f>
        <v>640174.61</v>
      </c>
      <c r="C7" s="215"/>
    </row>
    <row r="8" spans="1:3" ht="14.25" customHeight="1" x14ac:dyDescent="0.3">
      <c r="A8" s="143" t="s">
        <v>377</v>
      </c>
      <c r="B8" s="217">
        <v>25000</v>
      </c>
      <c r="C8" s="215"/>
    </row>
    <row r="9" spans="1:3" ht="14.25" customHeight="1" x14ac:dyDescent="0.3">
      <c r="A9" s="135" t="s">
        <v>398</v>
      </c>
      <c r="B9" s="217">
        <f>SUM(B7:B8)</f>
        <v>665174.61</v>
      </c>
      <c r="C9" s="215"/>
    </row>
    <row r="10" spans="1:3" ht="42" x14ac:dyDescent="0.3">
      <c r="A10" s="138" t="s">
        <v>399</v>
      </c>
      <c r="B10" s="119">
        <f>SUM(B11+B22+B29)</f>
        <v>741892.3</v>
      </c>
      <c r="C10" s="120" t="s">
        <v>454</v>
      </c>
    </row>
    <row r="11" spans="1:3" ht="14.25" customHeight="1" x14ac:dyDescent="0.3">
      <c r="A11" s="155" t="s">
        <v>385</v>
      </c>
      <c r="B11" s="218">
        <f>SUM(B12:B20)</f>
        <v>30000</v>
      </c>
      <c r="C11" s="159"/>
    </row>
    <row r="12" spans="1:3" ht="28.5" customHeight="1" x14ac:dyDescent="0.3">
      <c r="A12" s="143" t="s">
        <v>43</v>
      </c>
      <c r="B12" s="400">
        <v>20000</v>
      </c>
      <c r="C12" s="118"/>
    </row>
    <row r="13" spans="1:3" ht="30.75" customHeight="1" x14ac:dyDescent="0.3">
      <c r="A13" s="161" t="s">
        <v>48</v>
      </c>
      <c r="B13" s="401"/>
      <c r="C13" s="118"/>
    </row>
    <row r="14" spans="1:3" ht="37.5" customHeight="1" x14ac:dyDescent="0.3">
      <c r="A14" s="161" t="s">
        <v>53</v>
      </c>
      <c r="B14" s="402"/>
      <c r="C14" s="118"/>
    </row>
    <row r="15" spans="1:3" ht="14.25" customHeight="1" x14ac:dyDescent="0.3">
      <c r="A15" s="161" t="s">
        <v>87</v>
      </c>
      <c r="B15" s="400">
        <v>5000</v>
      </c>
      <c r="C15" s="118"/>
    </row>
    <row r="16" spans="1:3" ht="14.25" customHeight="1" x14ac:dyDescent="0.3">
      <c r="A16" s="161" t="s">
        <v>90</v>
      </c>
      <c r="B16" s="401"/>
      <c r="C16" s="118"/>
    </row>
    <row r="17" spans="1:3" ht="14.25" customHeight="1" x14ac:dyDescent="0.3">
      <c r="A17" s="161" t="s">
        <v>93</v>
      </c>
      <c r="B17" s="402"/>
      <c r="C17" s="118"/>
    </row>
    <row r="18" spans="1:3" ht="14.25" customHeight="1" x14ac:dyDescent="0.3">
      <c r="A18" s="161" t="s">
        <v>99</v>
      </c>
      <c r="B18" s="400">
        <v>5000</v>
      </c>
      <c r="C18" s="118"/>
    </row>
    <row r="19" spans="1:3" ht="28" x14ac:dyDescent="0.3">
      <c r="A19" s="161" t="s">
        <v>103</v>
      </c>
      <c r="B19" s="401"/>
      <c r="C19" s="118"/>
    </row>
    <row r="20" spans="1:3" ht="15.75" customHeight="1" x14ac:dyDescent="0.3">
      <c r="A20" s="143" t="s">
        <v>105</v>
      </c>
      <c r="B20" s="402"/>
      <c r="C20" s="118"/>
    </row>
    <row r="21" spans="1:3" ht="14.25" customHeight="1" x14ac:dyDescent="0.3">
      <c r="A21" s="135"/>
      <c r="B21" s="217"/>
      <c r="C21" s="118"/>
    </row>
    <row r="22" spans="1:3" ht="14.25" customHeight="1" x14ac:dyDescent="0.3">
      <c r="A22" s="219" t="s">
        <v>163</v>
      </c>
      <c r="B22" s="220">
        <f>SUM(B23:B28)</f>
        <v>10000</v>
      </c>
      <c r="C22" s="159"/>
    </row>
    <row r="23" spans="1:3" ht="15.75" customHeight="1" x14ac:dyDescent="0.3">
      <c r="A23" s="142" t="s">
        <v>111</v>
      </c>
      <c r="B23" s="400">
        <v>5000</v>
      </c>
      <c r="C23" s="118"/>
    </row>
    <row r="24" spans="1:3" ht="15.75" customHeight="1" x14ac:dyDescent="0.3">
      <c r="A24" s="143" t="s">
        <v>116</v>
      </c>
      <c r="B24" s="401"/>
      <c r="C24" s="118"/>
    </row>
    <row r="25" spans="1:3" ht="15.75" customHeight="1" x14ac:dyDescent="0.3">
      <c r="A25" s="143" t="s">
        <v>119</v>
      </c>
      <c r="B25" s="402"/>
      <c r="C25" s="118"/>
    </row>
    <row r="26" spans="1:3" ht="15.75" customHeight="1" x14ac:dyDescent="0.3">
      <c r="A26" s="143" t="s">
        <v>136</v>
      </c>
      <c r="B26" s="400">
        <v>5000</v>
      </c>
      <c r="C26" s="118"/>
    </row>
    <row r="27" spans="1:3" ht="15.75" customHeight="1" x14ac:dyDescent="0.3">
      <c r="A27" s="143" t="s">
        <v>139</v>
      </c>
      <c r="B27" s="401"/>
      <c r="C27" s="118"/>
    </row>
    <row r="28" spans="1:3" ht="15.75" customHeight="1" x14ac:dyDescent="0.3">
      <c r="A28" s="143" t="s">
        <v>143</v>
      </c>
      <c r="B28" s="402"/>
      <c r="C28" s="118"/>
    </row>
    <row r="29" spans="1:3" ht="14.25" customHeight="1" x14ac:dyDescent="0.3">
      <c r="A29" s="219" t="s">
        <v>386</v>
      </c>
      <c r="B29" s="220">
        <f>SUM(B30:B31)</f>
        <v>701892.3</v>
      </c>
      <c r="C29" s="159"/>
    </row>
    <row r="30" spans="1:3" ht="15.75" customHeight="1" x14ac:dyDescent="0.3">
      <c r="A30" s="143" t="s">
        <v>400</v>
      </c>
      <c r="B30" s="217">
        <f>SUM('Quarterly financial'!D45)</f>
        <v>339737.13</v>
      </c>
      <c r="C30" s="118" t="s">
        <v>452</v>
      </c>
    </row>
    <row r="31" spans="1:3" ht="15.75" customHeight="1" x14ac:dyDescent="0.3">
      <c r="A31" s="161" t="s">
        <v>401</v>
      </c>
      <c r="B31" s="217">
        <f>SUM('Quarterly financial'!D46)</f>
        <v>362155.17</v>
      </c>
      <c r="C31" s="118" t="s">
        <v>453</v>
      </c>
    </row>
    <row r="32" spans="1:3" ht="14.25" customHeight="1" x14ac:dyDescent="0.3">
      <c r="A32" s="170" t="s">
        <v>402</v>
      </c>
      <c r="B32" s="220">
        <f>SUM(B33:B33)</f>
        <v>0</v>
      </c>
      <c r="C32" s="159"/>
    </row>
    <row r="33" spans="1:3" ht="14.25" customHeight="1" x14ac:dyDescent="0.3">
      <c r="A33" s="221"/>
      <c r="B33" s="217">
        <v>0</v>
      </c>
      <c r="C33" s="118"/>
    </row>
    <row r="34" spans="1:3" ht="14.25" customHeight="1" x14ac:dyDescent="0.3">
      <c r="A34" s="222" t="s">
        <v>388</v>
      </c>
      <c r="B34" s="220">
        <f>SUM(B35:B38)</f>
        <v>0</v>
      </c>
      <c r="C34" s="159"/>
    </row>
    <row r="35" spans="1:3" ht="14.25" customHeight="1" x14ac:dyDescent="0.3">
      <c r="A35" s="223"/>
      <c r="B35" s="217">
        <v>0</v>
      </c>
      <c r="C35" s="118"/>
    </row>
    <row r="36" spans="1:3" ht="14.25" customHeight="1" x14ac:dyDescent="0.3">
      <c r="A36" s="223"/>
      <c r="B36" s="217">
        <v>0</v>
      </c>
      <c r="C36" s="118"/>
    </row>
    <row r="37" spans="1:3" ht="14.25" customHeight="1" x14ac:dyDescent="0.3">
      <c r="A37" s="161"/>
      <c r="B37" s="217">
        <v>0</v>
      </c>
      <c r="C37" s="118"/>
    </row>
    <row r="38" spans="1:3" ht="14.25" customHeight="1" x14ac:dyDescent="0.3">
      <c r="A38" s="161"/>
      <c r="B38" s="217">
        <v>0</v>
      </c>
      <c r="C38" s="118"/>
    </row>
    <row r="39" spans="1:3" ht="14.25" customHeight="1" x14ac:dyDescent="0.3">
      <c r="A39" s="161"/>
      <c r="B39" s="217"/>
      <c r="C39" s="118"/>
    </row>
    <row r="40" spans="1:3" ht="14.25" customHeight="1" x14ac:dyDescent="0.3">
      <c r="A40" s="135" t="s">
        <v>403</v>
      </c>
      <c r="B40" s="217">
        <f>B11+B22+B29+B32+B34</f>
        <v>741892.3</v>
      </c>
      <c r="C40" s="118"/>
    </row>
    <row r="41" spans="1:3" ht="14.25" customHeight="1" x14ac:dyDescent="0.3">
      <c r="A41" s="224" t="s">
        <v>404</v>
      </c>
      <c r="B41" s="225">
        <f>B9-B40</f>
        <v>-76717.690000000061</v>
      </c>
      <c r="C41" s="226" t="s">
        <v>405</v>
      </c>
    </row>
    <row r="42" spans="1:3" ht="14.25" customHeight="1" x14ac:dyDescent="0.3">
      <c r="A42" s="227"/>
      <c r="C42" s="215"/>
    </row>
    <row r="43" spans="1:3" ht="14.25" customHeight="1" x14ac:dyDescent="0.3">
      <c r="A43" s="227"/>
      <c r="C43" s="215"/>
    </row>
    <row r="44" spans="1:3" ht="20.25" customHeight="1" x14ac:dyDescent="0.3">
      <c r="A44" s="227" t="s">
        <v>459</v>
      </c>
      <c r="B44" s="229"/>
      <c r="C44" s="215"/>
    </row>
    <row r="45" spans="1:3" ht="20.25" customHeight="1" x14ac:dyDescent="0.3">
      <c r="A45" s="403" t="s">
        <v>500</v>
      </c>
      <c r="B45" s="397"/>
      <c r="C45" s="215"/>
    </row>
    <row r="46" spans="1:3" ht="63" customHeight="1" x14ac:dyDescent="0.3">
      <c r="A46" s="396" t="s">
        <v>395</v>
      </c>
      <c r="B46" s="397"/>
      <c r="C46" s="215"/>
    </row>
    <row r="47" spans="1:3" ht="20.25" customHeight="1" x14ac:dyDescent="0.3">
      <c r="A47" s="396" t="s">
        <v>394</v>
      </c>
      <c r="B47" s="397"/>
      <c r="C47" s="215"/>
    </row>
    <row r="48" spans="1:3" ht="20.25" customHeight="1" x14ac:dyDescent="0.3">
      <c r="A48" s="230"/>
      <c r="B48" s="229"/>
      <c r="C48" s="215"/>
    </row>
    <row r="49" spans="1:3" ht="20.25" customHeight="1" x14ac:dyDescent="0.3">
      <c r="A49" s="403" t="s">
        <v>501</v>
      </c>
      <c r="B49" s="397"/>
      <c r="C49" s="215"/>
    </row>
    <row r="50" spans="1:3" ht="60.75" customHeight="1" x14ac:dyDescent="0.3">
      <c r="A50" s="396" t="s">
        <v>395</v>
      </c>
      <c r="B50" s="397"/>
      <c r="C50" s="215"/>
    </row>
    <row r="51" spans="1:3" ht="20.25" customHeight="1" x14ac:dyDescent="0.3">
      <c r="A51" s="396" t="s">
        <v>394</v>
      </c>
      <c r="B51" s="397"/>
      <c r="C51" s="215"/>
    </row>
    <row r="52" spans="1:3" ht="14.25" customHeight="1" x14ac:dyDescent="0.3">
      <c r="C52" s="215"/>
    </row>
    <row r="53" spans="1:3" ht="14.25" customHeight="1" x14ac:dyDescent="0.3">
      <c r="C53" s="215"/>
    </row>
    <row r="54" spans="1:3" ht="14.25" customHeight="1" x14ac:dyDescent="0.3">
      <c r="C54" s="215"/>
    </row>
    <row r="55" spans="1:3" ht="14.25" customHeight="1" x14ac:dyDescent="0.3">
      <c r="C55" s="215"/>
    </row>
    <row r="56" spans="1:3" ht="14.25" customHeight="1" x14ac:dyDescent="0.3">
      <c r="C56" s="215"/>
    </row>
    <row r="57" spans="1:3" ht="14.25" customHeight="1" x14ac:dyDescent="0.3">
      <c r="C57" s="215"/>
    </row>
    <row r="58" spans="1:3" ht="14.25" customHeight="1" x14ac:dyDescent="0.3">
      <c r="C58" s="215"/>
    </row>
    <row r="59" spans="1:3" ht="14.25" customHeight="1" x14ac:dyDescent="0.3">
      <c r="C59" s="215"/>
    </row>
    <row r="60" spans="1:3" ht="14.25" customHeight="1" x14ac:dyDescent="0.3">
      <c r="C60" s="215"/>
    </row>
    <row r="61" spans="1:3" ht="14.25" customHeight="1" x14ac:dyDescent="0.3">
      <c r="C61" s="215"/>
    </row>
    <row r="62" spans="1:3" ht="14.25" customHeight="1" x14ac:dyDescent="0.3">
      <c r="C62" s="215"/>
    </row>
    <row r="63" spans="1:3" ht="14.25" customHeight="1" x14ac:dyDescent="0.3">
      <c r="C63" s="215"/>
    </row>
    <row r="64" spans="1:3" ht="14.25" customHeight="1" x14ac:dyDescent="0.3">
      <c r="C64" s="215"/>
    </row>
    <row r="65" spans="3:3" ht="14.25" customHeight="1" x14ac:dyDescent="0.3">
      <c r="C65" s="215"/>
    </row>
    <row r="66" spans="3:3" ht="14.25" customHeight="1" x14ac:dyDescent="0.3">
      <c r="C66" s="215"/>
    </row>
    <row r="67" spans="3:3" ht="14.25" customHeight="1" x14ac:dyDescent="0.3">
      <c r="C67" s="215"/>
    </row>
    <row r="68" spans="3:3" ht="14.25" customHeight="1" x14ac:dyDescent="0.3">
      <c r="C68" s="215"/>
    </row>
    <row r="69" spans="3:3" ht="14.25" customHeight="1" x14ac:dyDescent="0.3">
      <c r="C69" s="215"/>
    </row>
    <row r="70" spans="3:3" ht="14.25" customHeight="1" x14ac:dyDescent="0.3">
      <c r="C70" s="215"/>
    </row>
    <row r="71" spans="3:3" ht="14.25" customHeight="1" x14ac:dyDescent="0.3">
      <c r="C71" s="215"/>
    </row>
    <row r="72" spans="3:3" ht="14.25" customHeight="1" x14ac:dyDescent="0.3">
      <c r="C72" s="215"/>
    </row>
    <row r="73" spans="3:3" ht="14.25" customHeight="1" x14ac:dyDescent="0.3">
      <c r="C73" s="215"/>
    </row>
    <row r="74" spans="3:3" ht="14.25" customHeight="1" x14ac:dyDescent="0.3">
      <c r="C74" s="215"/>
    </row>
    <row r="75" spans="3:3" ht="14.25" customHeight="1" x14ac:dyDescent="0.3">
      <c r="C75" s="215"/>
    </row>
    <row r="76" spans="3:3" ht="14.25" customHeight="1" x14ac:dyDescent="0.3">
      <c r="C76" s="215"/>
    </row>
    <row r="77" spans="3:3" ht="14.25" customHeight="1" x14ac:dyDescent="0.3">
      <c r="C77" s="215"/>
    </row>
    <row r="78" spans="3:3" ht="14.25" customHeight="1" x14ac:dyDescent="0.3">
      <c r="C78" s="215"/>
    </row>
    <row r="79" spans="3:3" ht="14.25" customHeight="1" x14ac:dyDescent="0.3">
      <c r="C79" s="215"/>
    </row>
    <row r="80" spans="3:3" ht="14.25" customHeight="1" x14ac:dyDescent="0.3">
      <c r="C80" s="215"/>
    </row>
    <row r="81" spans="3:3" ht="14.25" customHeight="1" x14ac:dyDescent="0.3">
      <c r="C81" s="215"/>
    </row>
    <row r="82" spans="3:3" ht="14.25" customHeight="1" x14ac:dyDescent="0.3">
      <c r="C82" s="215"/>
    </row>
    <row r="83" spans="3:3" ht="14.25" customHeight="1" x14ac:dyDescent="0.3">
      <c r="C83" s="215"/>
    </row>
    <row r="84" spans="3:3" ht="14.25" customHeight="1" x14ac:dyDescent="0.3">
      <c r="C84" s="215"/>
    </row>
    <row r="85" spans="3:3" ht="14.25" customHeight="1" x14ac:dyDescent="0.3">
      <c r="C85" s="215"/>
    </row>
    <row r="86" spans="3:3" ht="14.25" customHeight="1" x14ac:dyDescent="0.3">
      <c r="C86" s="215"/>
    </row>
    <row r="87" spans="3:3" ht="14.25" customHeight="1" x14ac:dyDescent="0.3">
      <c r="C87" s="215"/>
    </row>
    <row r="88" spans="3:3" ht="14.25" customHeight="1" x14ac:dyDescent="0.3">
      <c r="C88" s="215"/>
    </row>
    <row r="89" spans="3:3" ht="14.25" customHeight="1" x14ac:dyDescent="0.3">
      <c r="C89" s="215"/>
    </row>
    <row r="90" spans="3:3" ht="14.25" customHeight="1" x14ac:dyDescent="0.3">
      <c r="C90" s="215"/>
    </row>
    <row r="91" spans="3:3" ht="14.25" customHeight="1" x14ac:dyDescent="0.3">
      <c r="C91" s="215"/>
    </row>
    <row r="92" spans="3:3" ht="14.25" customHeight="1" x14ac:dyDescent="0.3">
      <c r="C92" s="215"/>
    </row>
    <row r="93" spans="3:3" ht="14.25" customHeight="1" x14ac:dyDescent="0.3">
      <c r="C93" s="215"/>
    </row>
    <row r="94" spans="3:3" ht="14.25" customHeight="1" x14ac:dyDescent="0.3">
      <c r="C94" s="215"/>
    </row>
    <row r="95" spans="3:3" ht="14.25" customHeight="1" x14ac:dyDescent="0.3">
      <c r="C95" s="215"/>
    </row>
    <row r="96" spans="3:3" ht="14.25" customHeight="1" x14ac:dyDescent="0.3">
      <c r="C96" s="215"/>
    </row>
    <row r="97" spans="3:3" ht="14.25" customHeight="1" x14ac:dyDescent="0.3">
      <c r="C97" s="215"/>
    </row>
    <row r="98" spans="3:3" ht="14.25" customHeight="1" x14ac:dyDescent="0.3">
      <c r="C98" s="215"/>
    </row>
    <row r="99" spans="3:3" ht="14.25" customHeight="1" x14ac:dyDescent="0.3">
      <c r="C99" s="215"/>
    </row>
    <row r="100" spans="3:3" ht="14.25" customHeight="1" x14ac:dyDescent="0.3">
      <c r="C100" s="215"/>
    </row>
    <row r="101" spans="3:3" ht="14.25" customHeight="1" x14ac:dyDescent="0.3">
      <c r="C101" s="215"/>
    </row>
    <row r="102" spans="3:3" ht="14.25" customHeight="1" x14ac:dyDescent="0.3">
      <c r="C102" s="215"/>
    </row>
    <row r="103" spans="3:3" ht="14.25" customHeight="1" x14ac:dyDescent="0.3">
      <c r="C103" s="215"/>
    </row>
    <row r="104" spans="3:3" ht="14.25" customHeight="1" x14ac:dyDescent="0.3">
      <c r="C104" s="215"/>
    </row>
    <row r="105" spans="3:3" ht="14.25" customHeight="1" x14ac:dyDescent="0.3">
      <c r="C105" s="215"/>
    </row>
    <row r="106" spans="3:3" ht="14.25" customHeight="1" x14ac:dyDescent="0.3">
      <c r="C106" s="215"/>
    </row>
    <row r="107" spans="3:3" ht="14.25" customHeight="1" x14ac:dyDescent="0.3">
      <c r="C107" s="215"/>
    </row>
    <row r="108" spans="3:3" ht="14.25" customHeight="1" x14ac:dyDescent="0.3">
      <c r="C108" s="215"/>
    </row>
    <row r="109" spans="3:3" ht="14.25" customHeight="1" x14ac:dyDescent="0.3">
      <c r="C109" s="215"/>
    </row>
    <row r="110" spans="3:3" ht="14.25" customHeight="1" x14ac:dyDescent="0.3">
      <c r="C110" s="215"/>
    </row>
    <row r="111" spans="3:3" ht="14.25" customHeight="1" x14ac:dyDescent="0.3">
      <c r="C111" s="215"/>
    </row>
    <row r="112" spans="3:3" ht="14.25" customHeight="1" x14ac:dyDescent="0.3">
      <c r="C112" s="215"/>
    </row>
    <row r="113" spans="3:3" ht="14.25" customHeight="1" x14ac:dyDescent="0.3">
      <c r="C113" s="215"/>
    </row>
    <row r="114" spans="3:3" ht="14.25" customHeight="1" x14ac:dyDescent="0.3">
      <c r="C114" s="215"/>
    </row>
    <row r="115" spans="3:3" ht="14.25" customHeight="1" x14ac:dyDescent="0.3">
      <c r="C115" s="215"/>
    </row>
    <row r="116" spans="3:3" ht="14.25" customHeight="1" x14ac:dyDescent="0.3">
      <c r="C116" s="215"/>
    </row>
    <row r="117" spans="3:3" ht="14.25" customHeight="1" x14ac:dyDescent="0.3">
      <c r="C117" s="215"/>
    </row>
    <row r="118" spans="3:3" ht="14.25" customHeight="1" x14ac:dyDescent="0.3">
      <c r="C118" s="215"/>
    </row>
    <row r="119" spans="3:3" ht="14.25" customHeight="1" x14ac:dyDescent="0.3">
      <c r="C119" s="215"/>
    </row>
    <row r="120" spans="3:3" ht="14.25" customHeight="1" x14ac:dyDescent="0.3">
      <c r="C120" s="215"/>
    </row>
    <row r="121" spans="3:3" ht="14.25" customHeight="1" x14ac:dyDescent="0.3">
      <c r="C121" s="215"/>
    </row>
    <row r="122" spans="3:3" ht="14.25" customHeight="1" x14ac:dyDescent="0.3">
      <c r="C122" s="215"/>
    </row>
    <row r="123" spans="3:3" ht="14.25" customHeight="1" x14ac:dyDescent="0.3">
      <c r="C123" s="215"/>
    </row>
    <row r="124" spans="3:3" ht="14.25" customHeight="1" x14ac:dyDescent="0.3">
      <c r="C124" s="215"/>
    </row>
    <row r="125" spans="3:3" ht="14.25" customHeight="1" x14ac:dyDescent="0.3">
      <c r="C125" s="215"/>
    </row>
    <row r="126" spans="3:3" ht="14.25" customHeight="1" x14ac:dyDescent="0.3">
      <c r="C126" s="215"/>
    </row>
    <row r="127" spans="3:3" ht="14.25" customHeight="1" x14ac:dyDescent="0.3">
      <c r="C127" s="215"/>
    </row>
    <row r="128" spans="3:3" ht="14.25" customHeight="1" x14ac:dyDescent="0.3">
      <c r="C128" s="215"/>
    </row>
    <row r="129" spans="3:3" ht="14.25" customHeight="1" x14ac:dyDescent="0.3">
      <c r="C129" s="215"/>
    </row>
    <row r="130" spans="3:3" ht="14.25" customHeight="1" x14ac:dyDescent="0.3">
      <c r="C130" s="215"/>
    </row>
    <row r="131" spans="3:3" ht="14.25" customHeight="1" x14ac:dyDescent="0.3">
      <c r="C131" s="215"/>
    </row>
    <row r="132" spans="3:3" ht="14.25" customHeight="1" x14ac:dyDescent="0.3">
      <c r="C132" s="215"/>
    </row>
    <row r="133" spans="3:3" ht="14.25" customHeight="1" x14ac:dyDescent="0.3">
      <c r="C133" s="215"/>
    </row>
    <row r="134" spans="3:3" ht="14.25" customHeight="1" x14ac:dyDescent="0.3">
      <c r="C134" s="215"/>
    </row>
    <row r="135" spans="3:3" ht="14.25" customHeight="1" x14ac:dyDescent="0.3">
      <c r="C135" s="215"/>
    </row>
    <row r="136" spans="3:3" ht="14.25" customHeight="1" x14ac:dyDescent="0.3">
      <c r="C136" s="215"/>
    </row>
    <row r="137" spans="3:3" ht="14.25" customHeight="1" x14ac:dyDescent="0.3">
      <c r="C137" s="215"/>
    </row>
    <row r="138" spans="3:3" ht="14.25" customHeight="1" x14ac:dyDescent="0.3">
      <c r="C138" s="215"/>
    </row>
    <row r="139" spans="3:3" ht="14.25" customHeight="1" x14ac:dyDescent="0.3">
      <c r="C139" s="215"/>
    </row>
    <row r="140" spans="3:3" ht="14.25" customHeight="1" x14ac:dyDescent="0.3">
      <c r="C140" s="215"/>
    </row>
    <row r="141" spans="3:3" ht="14.25" customHeight="1" x14ac:dyDescent="0.3">
      <c r="C141" s="215"/>
    </row>
    <row r="142" spans="3:3" ht="14.25" customHeight="1" x14ac:dyDescent="0.3">
      <c r="C142" s="215"/>
    </row>
    <row r="143" spans="3:3" ht="14.25" customHeight="1" x14ac:dyDescent="0.3">
      <c r="C143" s="215"/>
    </row>
    <row r="144" spans="3:3" ht="14.25" customHeight="1" x14ac:dyDescent="0.3">
      <c r="C144" s="215"/>
    </row>
    <row r="145" spans="3:3" ht="14.25" customHeight="1" x14ac:dyDescent="0.3">
      <c r="C145" s="215"/>
    </row>
    <row r="146" spans="3:3" ht="14.25" customHeight="1" x14ac:dyDescent="0.3">
      <c r="C146" s="215"/>
    </row>
    <row r="147" spans="3:3" ht="14.25" customHeight="1" x14ac:dyDescent="0.3">
      <c r="C147" s="215"/>
    </row>
    <row r="148" spans="3:3" ht="14.25" customHeight="1" x14ac:dyDescent="0.3">
      <c r="C148" s="215"/>
    </row>
    <row r="149" spans="3:3" ht="14.25" customHeight="1" x14ac:dyDescent="0.3">
      <c r="C149" s="215"/>
    </row>
    <row r="150" spans="3:3" ht="14.25" customHeight="1" x14ac:dyDescent="0.3">
      <c r="C150" s="215"/>
    </row>
    <row r="151" spans="3:3" ht="14.25" customHeight="1" x14ac:dyDescent="0.3">
      <c r="C151" s="215"/>
    </row>
    <row r="152" spans="3:3" ht="14.25" customHeight="1" x14ac:dyDescent="0.3">
      <c r="C152" s="215"/>
    </row>
    <row r="153" spans="3:3" ht="14.25" customHeight="1" x14ac:dyDescent="0.3">
      <c r="C153" s="215"/>
    </row>
    <row r="154" spans="3:3" ht="14.25" customHeight="1" x14ac:dyDescent="0.3">
      <c r="C154" s="215"/>
    </row>
    <row r="155" spans="3:3" ht="14.25" customHeight="1" x14ac:dyDescent="0.3">
      <c r="C155" s="215"/>
    </row>
    <row r="156" spans="3:3" ht="14.25" customHeight="1" x14ac:dyDescent="0.3">
      <c r="C156" s="215"/>
    </row>
    <row r="157" spans="3:3" ht="14.25" customHeight="1" x14ac:dyDescent="0.3">
      <c r="C157" s="215"/>
    </row>
    <row r="158" spans="3:3" ht="14.25" customHeight="1" x14ac:dyDescent="0.3">
      <c r="C158" s="215"/>
    </row>
    <row r="159" spans="3:3" ht="14.25" customHeight="1" x14ac:dyDescent="0.3">
      <c r="C159" s="215"/>
    </row>
    <row r="160" spans="3:3" ht="14.25" customHeight="1" x14ac:dyDescent="0.3">
      <c r="C160" s="215"/>
    </row>
    <row r="161" spans="3:3" ht="14.25" customHeight="1" x14ac:dyDescent="0.3">
      <c r="C161" s="215"/>
    </row>
    <row r="162" spans="3:3" ht="14.25" customHeight="1" x14ac:dyDescent="0.3">
      <c r="C162" s="215"/>
    </row>
    <row r="163" spans="3:3" ht="14.25" customHeight="1" x14ac:dyDescent="0.3">
      <c r="C163" s="215"/>
    </row>
    <row r="164" spans="3:3" ht="14.25" customHeight="1" x14ac:dyDescent="0.3">
      <c r="C164" s="215"/>
    </row>
    <row r="165" spans="3:3" ht="14.25" customHeight="1" x14ac:dyDescent="0.3">
      <c r="C165" s="215"/>
    </row>
    <row r="166" spans="3:3" ht="14.25" customHeight="1" x14ac:dyDescent="0.3">
      <c r="C166" s="215"/>
    </row>
    <row r="167" spans="3:3" ht="14.25" customHeight="1" x14ac:dyDescent="0.3">
      <c r="C167" s="215"/>
    </row>
    <row r="168" spans="3:3" ht="14.25" customHeight="1" x14ac:dyDescent="0.3">
      <c r="C168" s="215"/>
    </row>
    <row r="169" spans="3:3" ht="14.25" customHeight="1" x14ac:dyDescent="0.3">
      <c r="C169" s="215"/>
    </row>
    <row r="170" spans="3:3" ht="14.25" customHeight="1" x14ac:dyDescent="0.3">
      <c r="C170" s="215"/>
    </row>
    <row r="171" spans="3:3" ht="14.25" customHeight="1" x14ac:dyDescent="0.3">
      <c r="C171" s="215"/>
    </row>
    <row r="172" spans="3:3" ht="14.25" customHeight="1" x14ac:dyDescent="0.3">
      <c r="C172" s="215"/>
    </row>
    <row r="173" spans="3:3" ht="14.25" customHeight="1" x14ac:dyDescent="0.3">
      <c r="C173" s="215"/>
    </row>
    <row r="174" spans="3:3" ht="14.25" customHeight="1" x14ac:dyDescent="0.3">
      <c r="C174" s="215"/>
    </row>
    <row r="175" spans="3:3" ht="14.25" customHeight="1" x14ac:dyDescent="0.3">
      <c r="C175" s="215"/>
    </row>
    <row r="176" spans="3:3" ht="14.25" customHeight="1" x14ac:dyDescent="0.3">
      <c r="C176" s="215"/>
    </row>
    <row r="177" spans="3:3" ht="14.25" customHeight="1" x14ac:dyDescent="0.3">
      <c r="C177" s="215"/>
    </row>
    <row r="178" spans="3:3" ht="14.25" customHeight="1" x14ac:dyDescent="0.3">
      <c r="C178" s="215"/>
    </row>
    <row r="179" spans="3:3" ht="14.25" customHeight="1" x14ac:dyDescent="0.3">
      <c r="C179" s="215"/>
    </row>
    <row r="180" spans="3:3" ht="14.25" customHeight="1" x14ac:dyDescent="0.3">
      <c r="C180" s="215"/>
    </row>
    <row r="181" spans="3:3" ht="14.25" customHeight="1" x14ac:dyDescent="0.3">
      <c r="C181" s="215"/>
    </row>
    <row r="182" spans="3:3" ht="14.25" customHeight="1" x14ac:dyDescent="0.3">
      <c r="C182" s="215"/>
    </row>
    <row r="183" spans="3:3" ht="14.25" customHeight="1" x14ac:dyDescent="0.3">
      <c r="C183" s="215"/>
    </row>
    <row r="184" spans="3:3" ht="14.25" customHeight="1" x14ac:dyDescent="0.3">
      <c r="C184" s="215"/>
    </row>
    <row r="185" spans="3:3" ht="14.25" customHeight="1" x14ac:dyDescent="0.3">
      <c r="C185" s="215"/>
    </row>
    <row r="186" spans="3:3" ht="14.25" customHeight="1" x14ac:dyDescent="0.3">
      <c r="C186" s="215"/>
    </row>
    <row r="187" spans="3:3" ht="14.25" customHeight="1" x14ac:dyDescent="0.3">
      <c r="C187" s="215"/>
    </row>
    <row r="188" spans="3:3" ht="14.25" customHeight="1" x14ac:dyDescent="0.3">
      <c r="C188" s="215"/>
    </row>
    <row r="189" spans="3:3" ht="14.25" customHeight="1" x14ac:dyDescent="0.3">
      <c r="C189" s="215"/>
    </row>
    <row r="190" spans="3:3" ht="14.25" customHeight="1" x14ac:dyDescent="0.3">
      <c r="C190" s="215"/>
    </row>
    <row r="191" spans="3:3" ht="14.25" customHeight="1" x14ac:dyDescent="0.3">
      <c r="C191" s="215"/>
    </row>
    <row r="192" spans="3:3" ht="14.25" customHeight="1" x14ac:dyDescent="0.3">
      <c r="C192" s="215"/>
    </row>
    <row r="193" spans="3:3" ht="14.25" customHeight="1" x14ac:dyDescent="0.3">
      <c r="C193" s="215"/>
    </row>
    <row r="194" spans="3:3" ht="14.25" customHeight="1" x14ac:dyDescent="0.3">
      <c r="C194" s="215"/>
    </row>
    <row r="195" spans="3:3" ht="14.25" customHeight="1" x14ac:dyDescent="0.3">
      <c r="C195" s="215"/>
    </row>
    <row r="196" spans="3:3" ht="14.25" customHeight="1" x14ac:dyDescent="0.3">
      <c r="C196" s="215"/>
    </row>
    <row r="197" spans="3:3" ht="14.25" customHeight="1" x14ac:dyDescent="0.3">
      <c r="C197" s="215"/>
    </row>
    <row r="198" spans="3:3" ht="14.25" customHeight="1" x14ac:dyDescent="0.3">
      <c r="C198" s="215"/>
    </row>
    <row r="199" spans="3:3" ht="14.25" customHeight="1" x14ac:dyDescent="0.3">
      <c r="C199" s="215"/>
    </row>
    <row r="200" spans="3:3" ht="14.25" customHeight="1" x14ac:dyDescent="0.3">
      <c r="C200" s="215"/>
    </row>
    <row r="201" spans="3:3" ht="14.25" customHeight="1" x14ac:dyDescent="0.3">
      <c r="C201" s="215"/>
    </row>
    <row r="202" spans="3:3" ht="14.25" customHeight="1" x14ac:dyDescent="0.3">
      <c r="C202" s="215"/>
    </row>
    <row r="203" spans="3:3" ht="14.25" customHeight="1" x14ac:dyDescent="0.3">
      <c r="C203" s="215"/>
    </row>
    <row r="204" spans="3:3" ht="14.25" customHeight="1" x14ac:dyDescent="0.3">
      <c r="C204" s="215"/>
    </row>
    <row r="205" spans="3:3" ht="14.25" customHeight="1" x14ac:dyDescent="0.3">
      <c r="C205" s="215"/>
    </row>
    <row r="206" spans="3:3" ht="14.25" customHeight="1" x14ac:dyDescent="0.3">
      <c r="C206" s="215"/>
    </row>
    <row r="207" spans="3:3" ht="14.25" customHeight="1" x14ac:dyDescent="0.3">
      <c r="C207" s="215"/>
    </row>
    <row r="208" spans="3:3" ht="14.25" customHeight="1" x14ac:dyDescent="0.3">
      <c r="C208" s="215"/>
    </row>
    <row r="209" spans="3:3" ht="14.25" customHeight="1" x14ac:dyDescent="0.3">
      <c r="C209" s="215"/>
    </row>
    <row r="210" spans="3:3" ht="14.25" customHeight="1" x14ac:dyDescent="0.3">
      <c r="C210" s="215"/>
    </row>
    <row r="211" spans="3:3" ht="14.25" customHeight="1" x14ac:dyDescent="0.3">
      <c r="C211" s="215"/>
    </row>
    <row r="212" spans="3:3" ht="14.25" customHeight="1" x14ac:dyDescent="0.3">
      <c r="C212" s="215"/>
    </row>
    <row r="213" spans="3:3" ht="14.25" customHeight="1" x14ac:dyDescent="0.3">
      <c r="C213" s="215"/>
    </row>
    <row r="214" spans="3:3" ht="14.25" customHeight="1" x14ac:dyDescent="0.3">
      <c r="C214" s="215"/>
    </row>
    <row r="215" spans="3:3" ht="14.25" customHeight="1" x14ac:dyDescent="0.3">
      <c r="C215" s="215"/>
    </row>
    <row r="216" spans="3:3" ht="14.25" customHeight="1" x14ac:dyDescent="0.3">
      <c r="C216" s="215"/>
    </row>
    <row r="217" spans="3:3" ht="14.25" customHeight="1" x14ac:dyDescent="0.3">
      <c r="C217" s="215"/>
    </row>
    <row r="218" spans="3:3" ht="14.25" customHeight="1" x14ac:dyDescent="0.3">
      <c r="C218" s="215"/>
    </row>
    <row r="219" spans="3:3" ht="14.25" customHeight="1" x14ac:dyDescent="0.3">
      <c r="C219" s="215"/>
    </row>
    <row r="220" spans="3:3" ht="14.25" customHeight="1" x14ac:dyDescent="0.3">
      <c r="C220" s="215"/>
    </row>
    <row r="221" spans="3:3" ht="14.25" customHeight="1" x14ac:dyDescent="0.3">
      <c r="C221" s="215"/>
    </row>
    <row r="222" spans="3:3" ht="14.25" customHeight="1" x14ac:dyDescent="0.3">
      <c r="C222" s="215"/>
    </row>
    <row r="223" spans="3:3" ht="14.25" customHeight="1" x14ac:dyDescent="0.3">
      <c r="C223" s="215"/>
    </row>
    <row r="224" spans="3:3" ht="14.25" customHeight="1" x14ac:dyDescent="0.3">
      <c r="C224" s="215"/>
    </row>
    <row r="225" spans="3:3" ht="14.25" customHeight="1" x14ac:dyDescent="0.3">
      <c r="C225" s="215"/>
    </row>
    <row r="226" spans="3:3" ht="14.25" customHeight="1" x14ac:dyDescent="0.3">
      <c r="C226" s="215"/>
    </row>
    <row r="227" spans="3:3" ht="14.25" customHeight="1" x14ac:dyDescent="0.3">
      <c r="C227" s="215"/>
    </row>
    <row r="228" spans="3:3" ht="14.25" customHeight="1" x14ac:dyDescent="0.3">
      <c r="C228" s="215"/>
    </row>
    <row r="229" spans="3:3" ht="14.25" customHeight="1" x14ac:dyDescent="0.3">
      <c r="C229" s="215"/>
    </row>
    <row r="230" spans="3:3" ht="14.25" customHeight="1" x14ac:dyDescent="0.3">
      <c r="C230" s="215"/>
    </row>
    <row r="231" spans="3:3" ht="14.25" customHeight="1" x14ac:dyDescent="0.3">
      <c r="C231" s="215"/>
    </row>
    <row r="232" spans="3:3" ht="14.25" customHeight="1" x14ac:dyDescent="0.3">
      <c r="C232" s="215"/>
    </row>
    <row r="233" spans="3:3" ht="14.25" customHeight="1" x14ac:dyDescent="0.3">
      <c r="C233" s="215"/>
    </row>
    <row r="234" spans="3:3" ht="14.25" customHeight="1" x14ac:dyDescent="0.3">
      <c r="C234" s="215"/>
    </row>
    <row r="235" spans="3:3" ht="14.25" customHeight="1" x14ac:dyDescent="0.3">
      <c r="C235" s="215"/>
    </row>
    <row r="236" spans="3:3" ht="14.25" customHeight="1" x14ac:dyDescent="0.3">
      <c r="C236" s="215"/>
    </row>
    <row r="237" spans="3:3" ht="14.25" customHeight="1" x14ac:dyDescent="0.3">
      <c r="C237" s="215"/>
    </row>
    <row r="238" spans="3:3" ht="14.25" customHeight="1" x14ac:dyDescent="0.3">
      <c r="C238" s="215"/>
    </row>
    <row r="239" spans="3:3" ht="14.25" customHeight="1" x14ac:dyDescent="0.3">
      <c r="C239" s="215"/>
    </row>
    <row r="240" spans="3:3" ht="14.25" customHeight="1" x14ac:dyDescent="0.3">
      <c r="C240" s="215"/>
    </row>
    <row r="241" spans="3:3" ht="14.25" customHeight="1" x14ac:dyDescent="0.3">
      <c r="C241" s="215"/>
    </row>
    <row r="242" spans="3:3" ht="14.25" customHeight="1" x14ac:dyDescent="0.3">
      <c r="C242" s="215"/>
    </row>
    <row r="243" spans="3:3" ht="14.25" customHeight="1" x14ac:dyDescent="0.3">
      <c r="C243" s="215"/>
    </row>
    <row r="244" spans="3:3" ht="14.25" customHeight="1" x14ac:dyDescent="0.3">
      <c r="C244" s="215"/>
    </row>
    <row r="245" spans="3:3" ht="14.25" customHeight="1" x14ac:dyDescent="0.3">
      <c r="C245" s="215"/>
    </row>
    <row r="246" spans="3:3" ht="14.25" customHeight="1" x14ac:dyDescent="0.3">
      <c r="C246" s="215"/>
    </row>
    <row r="247" spans="3:3" ht="14.25" customHeight="1" x14ac:dyDescent="0.3">
      <c r="C247" s="215"/>
    </row>
    <row r="248" spans="3:3" ht="14.25" customHeight="1" x14ac:dyDescent="0.3">
      <c r="C248" s="215"/>
    </row>
    <row r="249" spans="3:3" ht="14.25" customHeight="1" x14ac:dyDescent="0.3">
      <c r="C249" s="215"/>
    </row>
    <row r="250" spans="3:3" ht="14.25" customHeight="1" x14ac:dyDescent="0.3">
      <c r="C250" s="215"/>
    </row>
    <row r="251" spans="3:3" ht="14.25" customHeight="1" x14ac:dyDescent="0.3">
      <c r="C251" s="215"/>
    </row>
    <row r="252" spans="3:3" ht="15.75" customHeight="1" x14ac:dyDescent="0.3"/>
    <row r="253" spans="3:3" ht="15.75" customHeight="1" x14ac:dyDescent="0.3"/>
    <row r="254" spans="3:3" ht="15.75" customHeight="1" x14ac:dyDescent="0.3"/>
    <row r="255" spans="3:3" ht="15.75" customHeight="1" x14ac:dyDescent="0.3"/>
    <row r="256" spans="3:3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mergeCells count="13">
    <mergeCell ref="A51:B51"/>
    <mergeCell ref="A1:B1"/>
    <mergeCell ref="A5:B5"/>
    <mergeCell ref="B12:B14"/>
    <mergeCell ref="B15:B17"/>
    <mergeCell ref="B18:B20"/>
    <mergeCell ref="B23:B25"/>
    <mergeCell ref="B26:B28"/>
    <mergeCell ref="A45:B45"/>
    <mergeCell ref="A46:B46"/>
    <mergeCell ref="A47:B47"/>
    <mergeCell ref="A49:B49"/>
    <mergeCell ref="A50:B50"/>
  </mergeCells>
  <phoneticPr fontId="17" type="noConversion"/>
  <pageMargins left="0.7" right="0.7" top="0.75" bottom="0.75" header="0.3" footer="0.3"/>
  <pageSetup paperSize="8" scale="75" fitToWidth="0" orientation="landscape" r:id="rId1"/>
  <headerFooter>
    <oddHeader>&amp;L004280 QUARTERLY FINANCIAL INFORMATION</oddHeader>
    <oddFooter>&amp;C 12_TEM_FinancialInformation_V1.0_20191023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99"/>
  <sheetViews>
    <sheetView workbookViewId="0">
      <selection activeCell="A2" sqref="A2:C2"/>
    </sheetView>
  </sheetViews>
  <sheetFormatPr defaultColWidth="14.453125" defaultRowHeight="15" customHeight="1" x14ac:dyDescent="0.3"/>
  <cols>
    <col min="1" max="1" width="61.1796875" style="125" customWidth="1"/>
    <col min="2" max="2" width="23" style="125" customWidth="1"/>
    <col min="3" max="3" width="22" style="125" customWidth="1"/>
    <col min="4" max="6" width="8.7265625" style="125" customWidth="1"/>
    <col min="7" max="16384" width="14.453125" style="125"/>
  </cols>
  <sheetData>
    <row r="1" spans="1:3" ht="14" x14ac:dyDescent="0.3">
      <c r="A1" s="404" t="s">
        <v>406</v>
      </c>
      <c r="B1" s="405"/>
      <c r="C1" s="406"/>
    </row>
    <row r="2" spans="1:3" ht="14" x14ac:dyDescent="0.3">
      <c r="A2" s="407" t="s">
        <v>497</v>
      </c>
      <c r="B2" s="387"/>
      <c r="C2" s="388"/>
    </row>
    <row r="3" spans="1:3" ht="14" x14ac:dyDescent="0.3">
      <c r="A3" s="386" t="s">
        <v>407</v>
      </c>
      <c r="B3" s="387"/>
      <c r="C3" s="388"/>
    </row>
    <row r="4" spans="1:3" ht="14" x14ac:dyDescent="0.3">
      <c r="A4" s="395" t="s">
        <v>408</v>
      </c>
      <c r="B4" s="387"/>
      <c r="C4" s="388"/>
    </row>
    <row r="5" spans="1:3" ht="14" x14ac:dyDescent="0.3">
      <c r="A5" s="386" t="s">
        <v>364</v>
      </c>
      <c r="B5" s="387"/>
      <c r="C5" s="388"/>
    </row>
    <row r="6" spans="1:3" ht="14" x14ac:dyDescent="0.3">
      <c r="A6" s="386" t="s">
        <v>365</v>
      </c>
      <c r="B6" s="387"/>
      <c r="C6" s="388"/>
    </row>
    <row r="7" spans="1:3" ht="31.5" customHeight="1" x14ac:dyDescent="0.3">
      <c r="A7" s="135"/>
      <c r="B7" s="134" t="s">
        <v>409</v>
      </c>
      <c r="C7" s="134" t="s">
        <v>409</v>
      </c>
    </row>
    <row r="8" spans="1:3" ht="31.5" customHeight="1" x14ac:dyDescent="0.3">
      <c r="A8" s="135" t="s">
        <v>410</v>
      </c>
      <c r="B8" s="232"/>
      <c r="C8" s="233">
        <v>300000</v>
      </c>
    </row>
    <row r="9" spans="1:3" ht="31.5" customHeight="1" x14ac:dyDescent="0.3">
      <c r="A9" s="135" t="s">
        <v>411</v>
      </c>
      <c r="B9" s="232"/>
      <c r="C9" s="233">
        <f>'Quarterly financial'!C50-15499</f>
        <v>268326.39</v>
      </c>
    </row>
    <row r="10" spans="1:3" ht="14" x14ac:dyDescent="0.3">
      <c r="A10" s="135" t="s">
        <v>412</v>
      </c>
      <c r="B10" s="234"/>
      <c r="C10" s="233">
        <f>C8-C9</f>
        <v>31673.609999999986</v>
      </c>
    </row>
    <row r="11" spans="1:3" ht="18" customHeight="1" x14ac:dyDescent="0.3">
      <c r="A11" s="142" t="s">
        <v>413</v>
      </c>
      <c r="B11" s="231"/>
      <c r="C11" s="233"/>
    </row>
    <row r="12" spans="1:3" ht="19.5" customHeight="1" x14ac:dyDescent="0.3">
      <c r="A12" s="235" t="s">
        <v>414</v>
      </c>
      <c r="B12" s="236"/>
      <c r="C12" s="237"/>
    </row>
    <row r="13" spans="1:3" ht="19.5" customHeight="1" x14ac:dyDescent="0.3">
      <c r="A13" s="135" t="s">
        <v>415</v>
      </c>
      <c r="B13" s="236"/>
      <c r="C13" s="237">
        <f>C10</f>
        <v>31673.609999999986</v>
      </c>
    </row>
    <row r="14" spans="1:3" ht="50.25" customHeight="1" x14ac:dyDescent="0.3">
      <c r="A14" s="142" t="s">
        <v>416</v>
      </c>
      <c r="B14" s="236"/>
      <c r="C14" s="238"/>
    </row>
    <row r="15" spans="1:3" ht="14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6">
    <mergeCell ref="A6:C6"/>
    <mergeCell ref="A1:C1"/>
    <mergeCell ref="A2:C2"/>
    <mergeCell ref="A3:C3"/>
    <mergeCell ref="A4:C4"/>
    <mergeCell ref="A5:C5"/>
  </mergeCells>
  <pageMargins left="0.7" right="0.7" top="2.3541666666666665" bottom="0.75" header="0" footer="0"/>
  <pageSetup paperSize="9" orientation="landscape" r:id="rId1"/>
  <headerFooter>
    <oddHeader>&amp;L004280 BANK CASH RECONCILIATION</oddHeader>
    <oddFooter>&amp;C 13_TEM_FinancialInformation_V1.0_20180131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976"/>
  <sheetViews>
    <sheetView tabSelected="1" workbookViewId="0">
      <selection activeCell="F56" sqref="F56"/>
    </sheetView>
  </sheetViews>
  <sheetFormatPr defaultColWidth="14.453125" defaultRowHeight="15" customHeight="1" x14ac:dyDescent="0.35"/>
  <cols>
    <col min="1" max="1" width="43.1796875" customWidth="1"/>
    <col min="2" max="2" width="23.1796875" customWidth="1"/>
    <col min="3" max="3" width="26.81640625" customWidth="1"/>
    <col min="4" max="4" width="28.453125" customWidth="1"/>
    <col min="5" max="5" width="28.26953125" style="124" customWidth="1"/>
  </cols>
  <sheetData>
    <row r="1" spans="1:7" ht="18" x14ac:dyDescent="0.35">
      <c r="A1" s="121"/>
      <c r="B1" s="122"/>
      <c r="C1" s="122"/>
      <c r="D1" s="122"/>
      <c r="E1" s="123"/>
    </row>
    <row r="2" spans="1:7" ht="14.5" x14ac:dyDescent="0.35">
      <c r="A2" s="413"/>
      <c r="B2" s="415" t="s">
        <v>417</v>
      </c>
      <c r="C2" s="415" t="s">
        <v>418</v>
      </c>
      <c r="D2" s="415" t="s">
        <v>368</v>
      </c>
      <c r="E2" s="408" t="s">
        <v>369</v>
      </c>
    </row>
    <row r="3" spans="1:7" ht="14.5" x14ac:dyDescent="0.35">
      <c r="A3" s="414"/>
      <c r="B3" s="414"/>
      <c r="C3" s="414"/>
      <c r="D3" s="414"/>
      <c r="E3" s="409"/>
    </row>
    <row r="4" spans="1:7" ht="28" x14ac:dyDescent="0.35">
      <c r="A4" s="135" t="s">
        <v>372</v>
      </c>
      <c r="B4" s="139"/>
      <c r="C4" s="139"/>
      <c r="D4" s="140" t="s">
        <v>419</v>
      </c>
      <c r="E4" s="242" t="s">
        <v>420</v>
      </c>
    </row>
    <row r="5" spans="1:7" ht="14.5" x14ac:dyDescent="0.35">
      <c r="A5" s="143" t="s">
        <v>421</v>
      </c>
      <c r="B5" s="243">
        <f>'Quarterly financial'!B11</f>
        <v>924000</v>
      </c>
      <c r="C5" s="243">
        <f>SUM('Quarterly financial'!C11)</f>
        <v>283825.39</v>
      </c>
      <c r="D5" s="243">
        <f t="shared" ref="D5:D15" si="0">C5-B5</f>
        <v>-640174.61</v>
      </c>
      <c r="E5" s="244">
        <f>D5/B5</f>
        <v>-0.69282966450216443</v>
      </c>
    </row>
    <row r="6" spans="1:7" ht="14.5" x14ac:dyDescent="0.35">
      <c r="A6" s="143" t="s">
        <v>422</v>
      </c>
      <c r="B6" s="144">
        <v>0</v>
      </c>
      <c r="C6" s="144">
        <v>0</v>
      </c>
      <c r="D6" s="144">
        <f t="shared" si="0"/>
        <v>0</v>
      </c>
      <c r="E6" s="245"/>
      <c r="G6" s="253"/>
    </row>
    <row r="7" spans="1:7" ht="14.5" x14ac:dyDescent="0.35">
      <c r="A7" s="151" t="s">
        <v>423</v>
      </c>
      <c r="B7" s="144">
        <v>0</v>
      </c>
      <c r="C7" s="144">
        <v>0</v>
      </c>
      <c r="D7" s="144">
        <f t="shared" si="0"/>
        <v>0</v>
      </c>
      <c r="E7" s="245"/>
    </row>
    <row r="8" spans="1:7" ht="14.5" x14ac:dyDescent="0.35">
      <c r="A8" s="151" t="s">
        <v>424</v>
      </c>
      <c r="B8" s="144">
        <v>0</v>
      </c>
      <c r="C8" s="144">
        <v>0</v>
      </c>
      <c r="D8" s="144">
        <f t="shared" si="0"/>
        <v>0</v>
      </c>
      <c r="E8" s="245"/>
    </row>
    <row r="9" spans="1:7" ht="14.5" x14ac:dyDescent="0.35">
      <c r="A9" s="151" t="s">
        <v>425</v>
      </c>
      <c r="B9" s="144">
        <v>0</v>
      </c>
      <c r="C9" s="144">
        <v>0</v>
      </c>
      <c r="D9" s="144">
        <f t="shared" si="0"/>
        <v>0</v>
      </c>
      <c r="E9" s="245"/>
      <c r="G9" s="253"/>
    </row>
    <row r="10" spans="1:7" ht="14.5" x14ac:dyDescent="0.35">
      <c r="A10" s="151" t="s">
        <v>426</v>
      </c>
      <c r="B10" s="144">
        <v>0</v>
      </c>
      <c r="C10" s="144">
        <v>0</v>
      </c>
      <c r="D10" s="144">
        <f t="shared" si="0"/>
        <v>0</v>
      </c>
      <c r="E10" s="245"/>
    </row>
    <row r="11" spans="1:7" ht="14.5" x14ac:dyDescent="0.35">
      <c r="A11" s="143" t="s">
        <v>427</v>
      </c>
      <c r="B11" s="144">
        <v>0</v>
      </c>
      <c r="C11" s="144">
        <v>0</v>
      </c>
      <c r="D11" s="144">
        <f t="shared" si="0"/>
        <v>0</v>
      </c>
      <c r="E11" s="245"/>
    </row>
    <row r="12" spans="1:7" ht="14.5" x14ac:dyDescent="0.35">
      <c r="A12" s="151" t="s">
        <v>379</v>
      </c>
      <c r="B12" s="144">
        <v>0</v>
      </c>
      <c r="C12" s="144">
        <v>0</v>
      </c>
      <c r="D12" s="144">
        <f t="shared" si="0"/>
        <v>0</v>
      </c>
      <c r="E12" s="245"/>
    </row>
    <row r="13" spans="1:7" ht="14.5" x14ac:dyDescent="0.35">
      <c r="A13" s="151" t="s">
        <v>380</v>
      </c>
      <c r="B13" s="144">
        <v>0</v>
      </c>
      <c r="C13" s="144">
        <v>0</v>
      </c>
      <c r="D13" s="144">
        <f t="shared" si="0"/>
        <v>0</v>
      </c>
      <c r="E13" s="245"/>
    </row>
    <row r="14" spans="1:7" ht="14.5" x14ac:dyDescent="0.35">
      <c r="A14" s="151" t="s">
        <v>381</v>
      </c>
      <c r="B14" s="144">
        <v>0</v>
      </c>
      <c r="C14" s="144">
        <v>0</v>
      </c>
      <c r="D14" s="144">
        <f t="shared" si="0"/>
        <v>0</v>
      </c>
      <c r="E14" s="245"/>
    </row>
    <row r="15" spans="1:7" ht="14.5" x14ac:dyDescent="0.35">
      <c r="A15" s="239" t="s">
        <v>428</v>
      </c>
      <c r="B15" s="243">
        <f>SUM(B5:B14)</f>
        <v>924000</v>
      </c>
      <c r="C15" s="243">
        <f>SUM('Quarterly financial'!C16)</f>
        <v>283825.39</v>
      </c>
      <c r="D15" s="243">
        <f t="shared" si="0"/>
        <v>-640174.61</v>
      </c>
      <c r="E15" s="244">
        <f>D15/B15</f>
        <v>-0.69282966450216443</v>
      </c>
    </row>
    <row r="16" spans="1:7" ht="28" x14ac:dyDescent="0.35">
      <c r="A16" s="239" t="s">
        <v>462</v>
      </c>
      <c r="B16" s="246">
        <f>SUM('Quarterly financial'!B17)</f>
        <v>924000</v>
      </c>
      <c r="C16" s="246">
        <f>SUM('Quarterly financial'!C17)</f>
        <v>283825.39</v>
      </c>
      <c r="D16" s="247" t="s">
        <v>429</v>
      </c>
      <c r="E16" s="248" t="s">
        <v>430</v>
      </c>
    </row>
    <row r="17" spans="1:5" ht="14.5" x14ac:dyDescent="0.35">
      <c r="A17" s="223" t="s">
        <v>431</v>
      </c>
      <c r="B17" s="144">
        <f>'Quarterly financial'!B18</f>
        <v>15000</v>
      </c>
      <c r="C17" s="144">
        <f>'Quarterly financial'!C18</f>
        <v>74000</v>
      </c>
      <c r="D17" s="144">
        <f t="shared" ref="D17:D19" si="1">B17-C17</f>
        <v>-59000</v>
      </c>
      <c r="E17" s="245">
        <f>D17/C17</f>
        <v>-0.79729729729729726</v>
      </c>
    </row>
    <row r="18" spans="1:5" ht="14.5" x14ac:dyDescent="0.35">
      <c r="A18" s="221" t="s">
        <v>432</v>
      </c>
      <c r="B18" s="144">
        <v>0</v>
      </c>
      <c r="C18" s="144">
        <v>0</v>
      </c>
      <c r="D18" s="144">
        <f t="shared" si="1"/>
        <v>0</v>
      </c>
      <c r="E18" s="245">
        <v>0</v>
      </c>
    </row>
    <row r="19" spans="1:5" ht="28" x14ac:dyDescent="0.35">
      <c r="A19" s="161" t="str">
        <f>'Quarterly financial'!A19</f>
        <v>1.1.1 Understand project objectives, scope, and deliverables [Mbangiso Mabaso]</v>
      </c>
      <c r="B19" s="249">
        <f>'Quarterly financial'!B19</f>
        <v>0</v>
      </c>
      <c r="C19" s="249">
        <f>'Quarterly financial'!C19</f>
        <v>0</v>
      </c>
      <c r="D19" s="144">
        <f t="shared" si="1"/>
        <v>0</v>
      </c>
      <c r="E19" s="245">
        <v>0</v>
      </c>
    </row>
    <row r="20" spans="1:5" ht="42" x14ac:dyDescent="0.35">
      <c r="A20" s="161" t="str">
        <f>'Quarterly financial'!A20</f>
        <v>1.1.2 Ensure all project related contracts are in place for the project
[Mbangiso Mabaso]</v>
      </c>
      <c r="B20" s="249">
        <f>'Quarterly financial'!B20</f>
        <v>0</v>
      </c>
      <c r="C20" s="249">
        <f>'Quarterly financial'!C20</f>
        <v>0</v>
      </c>
      <c r="D20" s="144">
        <v>0</v>
      </c>
      <c r="E20" s="245">
        <v>0</v>
      </c>
    </row>
    <row r="21" spans="1:5" ht="35.25" customHeight="1" x14ac:dyDescent="0.35">
      <c r="A21" s="161" t="str">
        <f>'Quarterly financial'!A21</f>
        <v>2.2.1 Develop Project Execution Plan in consultation with TIA Specialist[Mbangiso Mabaso + Ashaal]</v>
      </c>
      <c r="B21" s="249">
        <f>'Quarterly financial'!B21</f>
        <v>0</v>
      </c>
      <c r="C21" s="249">
        <f>'Quarterly financial'!C21</f>
        <v>0</v>
      </c>
      <c r="D21" s="144">
        <v>0</v>
      </c>
      <c r="E21" s="245">
        <v>0</v>
      </c>
    </row>
    <row r="22" spans="1:5" ht="32.25" customHeight="1" x14ac:dyDescent="0.35">
      <c r="A22" s="161" t="str">
        <f>'Quarterly financial'!A22</f>
        <v>2.2.2 Host Project kick off meeting to ensure all relevant stakeholders understand how the project will be implemented[Mbangiso Mabaso + TIA +DSI+City of Umhlathuze)</v>
      </c>
      <c r="B22" s="249">
        <f>'Quarterly financial'!B22</f>
        <v>0</v>
      </c>
      <c r="C22" s="249">
        <f>'Quarterly financial'!C22</f>
        <v>0</v>
      </c>
      <c r="D22" s="144">
        <v>0</v>
      </c>
      <c r="E22" s="245">
        <v>0</v>
      </c>
    </row>
    <row r="23" spans="1:5" ht="33.75" customHeight="1" x14ac:dyDescent="0.35">
      <c r="A23" s="161" t="str">
        <f>'Quarterly financial'!A23</f>
        <v>2.2.3 Develop a stakholder map to identifiy funding sources and potential partners for Umhlatuze</v>
      </c>
      <c r="B23" s="249">
        <f>'Quarterly financial'!B23</f>
        <v>0</v>
      </c>
      <c r="C23" s="249">
        <f>'Quarterly financial'!C23</f>
        <v>0</v>
      </c>
      <c r="D23" s="144">
        <v>0</v>
      </c>
      <c r="E23" s="245">
        <v>0</v>
      </c>
    </row>
    <row r="24" spans="1:5" ht="26.25" customHeight="1" x14ac:dyDescent="0.35">
      <c r="A24" s="250" t="str">
        <f>'Quarterly financial'!A24</f>
        <v>2.2.4 Develop a business sustainability model for Sisanda App Universe</v>
      </c>
      <c r="B24" s="249">
        <f>'Quarterly financial'!B24</f>
        <v>0</v>
      </c>
      <c r="C24" s="249">
        <f>'Quarterly financial'!C24</f>
        <v>0</v>
      </c>
      <c r="D24" s="144">
        <v>0</v>
      </c>
      <c r="E24" s="245">
        <v>0</v>
      </c>
    </row>
    <row r="25" spans="1:5" ht="33.75" customHeight="1" x14ac:dyDescent="0.35">
      <c r="A25" s="161" t="str">
        <f>'Quarterly financial'!A25</f>
        <v>2.2.5 Source funding proposals to support the sustainability of Sisanda App Universe beyond the duration of this project at Umhlathuze</v>
      </c>
      <c r="B25" s="249">
        <f>'Quarterly financial'!B25</f>
        <v>0</v>
      </c>
      <c r="C25" s="249">
        <f>'Quarterly financial'!C25</f>
        <v>0</v>
      </c>
      <c r="D25" s="144">
        <v>0</v>
      </c>
      <c r="E25" s="245">
        <v>0</v>
      </c>
    </row>
    <row r="26" spans="1:5" ht="36.75" customHeight="1" x14ac:dyDescent="0.35">
      <c r="A26" s="161" t="str">
        <f>'Quarterly financial'!A26</f>
        <v>3.1.1 Identify and finalise product sites[Mbangiso Mabaso]</v>
      </c>
      <c r="B26" s="249">
        <f>'Quarterly financial'!B26</f>
        <v>0</v>
      </c>
      <c r="C26" s="249">
        <f>'Quarterly financial'!C26</f>
        <v>0</v>
      </c>
      <c r="D26" s="144">
        <v>0</v>
      </c>
      <c r="E26" s="245">
        <v>0</v>
      </c>
    </row>
    <row r="27" spans="1:5" ht="46.5" customHeight="1" x14ac:dyDescent="0.35">
      <c r="A27" s="161" t="str">
        <f>'Quarterly financial'!A27</f>
        <v>3.1.2 Address any potential gaps that might impact project implementation[Mbangiso Mabaso]</v>
      </c>
      <c r="B27" s="249">
        <f>'Quarterly financial'!B27</f>
        <v>0</v>
      </c>
      <c r="C27" s="249">
        <f>'Quarterly financial'!C27</f>
        <v>0</v>
      </c>
      <c r="D27" s="144">
        <v>0</v>
      </c>
      <c r="E27" s="245">
        <v>0</v>
      </c>
    </row>
    <row r="28" spans="1:5" ht="27.75" customHeight="1" x14ac:dyDescent="0.35">
      <c r="A28" s="161" t="str">
        <f>'Quarterly financial'!A28</f>
        <v>3.1.5 Install the app on tablets for all participating schools[Mbangiso Mabaso/Lepekoloa Lenkoe]</v>
      </c>
      <c r="B28" s="249">
        <f>'Quarterly financial'!B28</f>
        <v>5000</v>
      </c>
      <c r="C28" s="249">
        <f>'Quarterly financial'!C28</f>
        <v>21000</v>
      </c>
      <c r="D28" s="144">
        <f>B28-C28</f>
        <v>-16000</v>
      </c>
      <c r="E28" s="245">
        <f>D28/C28</f>
        <v>-0.76190476190476186</v>
      </c>
    </row>
    <row r="29" spans="1:5" ht="30.75" customHeight="1" x14ac:dyDescent="0.35">
      <c r="A29" s="161" t="str">
        <f>'Quarterly financial'!A29</f>
        <v>3.1.6 Conduct quality assurance checks to ensure optimal app performance of the app on all devices[Mbangiso Mabaso/Lepekoloa Lenkoe]</v>
      </c>
      <c r="B29" s="249">
        <f>'Quarterly financial'!B29</f>
        <v>0</v>
      </c>
      <c r="C29" s="249">
        <f>'Quarterly financial'!C29</f>
        <v>0</v>
      </c>
      <c r="D29" s="144">
        <v>0</v>
      </c>
      <c r="E29" s="245">
        <v>0</v>
      </c>
    </row>
    <row r="30" spans="1:5" ht="41.25" customHeight="1" x14ac:dyDescent="0.35">
      <c r="A30" s="161" t="str">
        <f>'Quarterly financial'!A30</f>
        <v>4.2.3 Schedule training sessions for teachers and IT staff.[Mbangiso Mabaso]</v>
      </c>
      <c r="B30" s="249">
        <f>'Quarterly financial'!B30</f>
        <v>0</v>
      </c>
      <c r="C30" s="249">
        <f>'Quarterly financial'!C30</f>
        <v>0</v>
      </c>
      <c r="D30" s="144">
        <f>B30-C30</f>
        <v>0</v>
      </c>
      <c r="E30" s="245">
        <v>0</v>
      </c>
    </row>
    <row r="31" spans="1:5" ht="33.75" customHeight="1" x14ac:dyDescent="0.35">
      <c r="A31" s="161" t="str">
        <f>'Quarterly financial'!A31</f>
        <v>3.2.1 Conduct hands-on demonstration sessions.</v>
      </c>
      <c r="B31" s="249">
        <f>'Quarterly financial'!B31</f>
        <v>5000</v>
      </c>
      <c r="C31" s="249">
        <f>'Quarterly financial'!C31</f>
        <v>40000</v>
      </c>
      <c r="D31" s="144">
        <f>B31-C31</f>
        <v>-35000</v>
      </c>
      <c r="E31" s="245">
        <f>D31/C31</f>
        <v>-0.875</v>
      </c>
    </row>
    <row r="32" spans="1:5" ht="34.5" customHeight="1" x14ac:dyDescent="0.35">
      <c r="A32" s="161" t="str">
        <f>'Quarterly financial'!A32</f>
        <v>3.2.3 Update and distribute user manuals and FAQs.</v>
      </c>
      <c r="B32" s="249">
        <f>'Quarterly financial'!B32</f>
        <v>0</v>
      </c>
      <c r="C32" s="249">
        <f>'Quarterly financial'!C32</f>
        <v>0</v>
      </c>
      <c r="D32" s="144">
        <v>0</v>
      </c>
      <c r="E32" s="245">
        <v>0</v>
      </c>
    </row>
    <row r="33" spans="1:5" ht="36" customHeight="1" x14ac:dyDescent="0.35">
      <c r="A33" s="161" t="str">
        <f>'Quarterly financial'!A33</f>
        <v>3.3.1 Distribute tablets to the schools [Mbangiso Mabaso + Vuyisile Mdutjulwa]</v>
      </c>
      <c r="B33" s="249">
        <f>'Quarterly financial'!B33</f>
        <v>0</v>
      </c>
      <c r="C33" s="249">
        <f>'Quarterly financial'!C33</f>
        <v>0</v>
      </c>
      <c r="D33" s="144">
        <v>0</v>
      </c>
      <c r="E33" s="245">
        <v>0</v>
      </c>
    </row>
    <row r="34" spans="1:5" ht="41.25" customHeight="1" x14ac:dyDescent="0.35">
      <c r="A34" s="161" t="str">
        <f>'Quarterly financial'!A34</f>
        <v>3.3.2 Provide delivery notes for teachers or school management to sign, confirming delivery.</v>
      </c>
      <c r="B34" s="249">
        <f>'Quarterly financial'!B34</f>
        <v>5000</v>
      </c>
      <c r="C34" s="249">
        <f>'Quarterly financial'!C34</f>
        <v>13000</v>
      </c>
      <c r="D34" s="144">
        <f>B34-C34</f>
        <v>-8000</v>
      </c>
      <c r="E34" s="245">
        <f>D34/C34</f>
        <v>-0.61538461538461542</v>
      </c>
    </row>
    <row r="35" spans="1:5" ht="30" customHeight="1" x14ac:dyDescent="0.35">
      <c r="A35" s="161" t="str">
        <f>'Quarterly financial'!A35</f>
        <v>3.3.3 Provide on-site support during the initial days of implementation.</v>
      </c>
      <c r="B35" s="249">
        <f>'Quarterly financial'!B35</f>
        <v>0</v>
      </c>
      <c r="C35" s="249">
        <f>'Quarterly financial'!C35</f>
        <v>0</v>
      </c>
      <c r="D35" s="144">
        <v>0</v>
      </c>
      <c r="E35" s="245">
        <v>0</v>
      </c>
    </row>
    <row r="36" spans="1:5" ht="33.75" customHeight="1" x14ac:dyDescent="0.35">
      <c r="A36" s="161" t="str">
        <f>'Quarterly financial'!A41</f>
        <v xml:space="preserve">4.3.3 Engage with schools for sustained collaboration and improvement. </v>
      </c>
      <c r="B36" s="249">
        <f>'Quarterly financial'!B41</f>
        <v>0</v>
      </c>
      <c r="C36" s="249">
        <f>'Quarterly financial'!C41</f>
        <v>0</v>
      </c>
      <c r="D36" s="144">
        <v>0</v>
      </c>
      <c r="E36" s="245">
        <v>0</v>
      </c>
    </row>
    <row r="37" spans="1:5" ht="15.75" customHeight="1" x14ac:dyDescent="0.35">
      <c r="A37" s="251" t="s">
        <v>433</v>
      </c>
      <c r="B37" s="243">
        <f>'Quarterly financial'!B42</f>
        <v>0</v>
      </c>
      <c r="C37" s="243">
        <f>'Quarterly financial'!C42</f>
        <v>2717.69</v>
      </c>
      <c r="D37" s="243">
        <f t="shared" ref="D37:D39" si="2">B37-C37</f>
        <v>-2717.69</v>
      </c>
      <c r="E37" s="244">
        <f>D37/C37</f>
        <v>-1</v>
      </c>
    </row>
    <row r="38" spans="1:5" ht="15.75" customHeight="1" x14ac:dyDescent="0.35">
      <c r="A38" s="221" t="s">
        <v>434</v>
      </c>
      <c r="B38" s="144">
        <v>0</v>
      </c>
      <c r="C38" s="144">
        <v>0</v>
      </c>
      <c r="D38" s="144">
        <f t="shared" si="2"/>
        <v>0</v>
      </c>
      <c r="E38" s="245">
        <v>0</v>
      </c>
    </row>
    <row r="39" spans="1:5" ht="15.75" customHeight="1" x14ac:dyDescent="0.35">
      <c r="A39" s="163" t="s">
        <v>173</v>
      </c>
      <c r="B39" s="144">
        <v>0</v>
      </c>
      <c r="C39" s="144">
        <f>SUM('Quarterly financial'!C43)</f>
        <v>2717.69</v>
      </c>
      <c r="D39" s="144">
        <f t="shared" si="2"/>
        <v>-2717.69</v>
      </c>
      <c r="E39" s="245">
        <v>0</v>
      </c>
    </row>
    <row r="40" spans="1:5" ht="15.75" customHeight="1" x14ac:dyDescent="0.35">
      <c r="A40" s="251" t="s">
        <v>435</v>
      </c>
      <c r="B40" s="243">
        <f>'Quarterly financial'!B44</f>
        <v>909000</v>
      </c>
      <c r="C40" s="243">
        <f>'Quarterly financial'!C44</f>
        <v>207107.7</v>
      </c>
      <c r="D40" s="243">
        <f t="shared" ref="D40:D43" si="3">B40-C40</f>
        <v>701892.3</v>
      </c>
      <c r="E40" s="244">
        <f t="shared" ref="E40:E43" si="4">D40/B40</f>
        <v>0.77215874587458755</v>
      </c>
    </row>
    <row r="41" spans="1:5" ht="22.5" customHeight="1" x14ac:dyDescent="0.35">
      <c r="A41" s="221" t="s">
        <v>436</v>
      </c>
      <c r="B41" s="144">
        <v>0</v>
      </c>
      <c r="C41" s="144">
        <v>0</v>
      </c>
      <c r="D41" s="144">
        <f t="shared" si="3"/>
        <v>0</v>
      </c>
      <c r="E41" s="245">
        <v>0</v>
      </c>
    </row>
    <row r="42" spans="1:5" ht="27" customHeight="1" x14ac:dyDescent="0.35">
      <c r="A42" s="161" t="str">
        <f>'Quarterly financial'!A45</f>
        <v>Procure and deliver of 165 tablets to the selected schools(Purchased 40 out of 165)</v>
      </c>
      <c r="B42" s="249">
        <f>'Quarterly financial'!B45</f>
        <v>506664</v>
      </c>
      <c r="C42" s="249">
        <f>'Quarterly financial'!C45</f>
        <v>166926.87000000002</v>
      </c>
      <c r="D42" s="144">
        <f t="shared" si="3"/>
        <v>339737.13</v>
      </c>
      <c r="E42" s="245">
        <f t="shared" si="4"/>
        <v>0.67053733835441243</v>
      </c>
    </row>
    <row r="43" spans="1:5" ht="15.75" customHeight="1" x14ac:dyDescent="0.35">
      <c r="A43" s="161" t="str">
        <f>'Quarterly financial'!A46</f>
        <v xml:space="preserve">Purchase school Licences </v>
      </c>
      <c r="B43" s="249">
        <f>'Quarterly financial'!B46</f>
        <v>402336</v>
      </c>
      <c r="C43" s="249">
        <f>'Quarterly financial'!C46</f>
        <v>40180.83</v>
      </c>
      <c r="D43" s="144">
        <f t="shared" si="3"/>
        <v>362155.17</v>
      </c>
      <c r="E43" s="245">
        <f t="shared" si="4"/>
        <v>0.9001311590312574</v>
      </c>
    </row>
    <row r="44" spans="1:5" ht="15.75" customHeight="1" x14ac:dyDescent="0.35">
      <c r="A44" s="251" t="s">
        <v>402</v>
      </c>
      <c r="B44" s="243">
        <f>SUM(B45:B46)</f>
        <v>0</v>
      </c>
      <c r="C44" s="243">
        <f>SUM(C45:C46)</f>
        <v>0</v>
      </c>
      <c r="D44" s="243">
        <f t="shared" ref="D44:D46" si="5">B44-C44</f>
        <v>0</v>
      </c>
      <c r="E44" s="244">
        <v>0</v>
      </c>
    </row>
    <row r="45" spans="1:5" ht="15.75" customHeight="1" x14ac:dyDescent="0.35">
      <c r="A45" s="221" t="s">
        <v>387</v>
      </c>
      <c r="B45" s="144">
        <v>0</v>
      </c>
      <c r="C45" s="144">
        <v>0</v>
      </c>
      <c r="D45" s="144">
        <f t="shared" si="5"/>
        <v>0</v>
      </c>
      <c r="E45" s="245">
        <v>0</v>
      </c>
    </row>
    <row r="46" spans="1:5" ht="15.75" customHeight="1" x14ac:dyDescent="0.35">
      <c r="A46" s="221"/>
      <c r="B46" s="144">
        <v>0</v>
      </c>
      <c r="C46" s="144">
        <v>0</v>
      </c>
      <c r="D46" s="144">
        <f t="shared" si="5"/>
        <v>0</v>
      </c>
      <c r="E46" s="245">
        <v>0</v>
      </c>
    </row>
    <row r="47" spans="1:5" ht="15.75" customHeight="1" x14ac:dyDescent="0.35">
      <c r="A47" s="251" t="s">
        <v>437</v>
      </c>
      <c r="B47" s="243">
        <v>0</v>
      </c>
      <c r="C47" s="243">
        <v>0</v>
      </c>
      <c r="D47" s="243">
        <f t="shared" ref="D47:D48" si="6">B47-C47</f>
        <v>0</v>
      </c>
      <c r="E47" s="244">
        <v>0</v>
      </c>
    </row>
    <row r="48" spans="1:5" ht="15.75" customHeight="1" x14ac:dyDescent="0.35">
      <c r="A48" s="223"/>
      <c r="B48" s="144">
        <v>0</v>
      </c>
      <c r="C48" s="144">
        <v>0</v>
      </c>
      <c r="D48" s="144">
        <f t="shared" si="6"/>
        <v>0</v>
      </c>
      <c r="E48" s="245">
        <v>0</v>
      </c>
    </row>
    <row r="49" spans="1:5" ht="15.75" customHeight="1" x14ac:dyDescent="0.35">
      <c r="A49" s="161"/>
      <c r="B49" s="144">
        <v>0</v>
      </c>
      <c r="C49" s="144">
        <v>0</v>
      </c>
      <c r="D49" s="144">
        <v>0</v>
      </c>
      <c r="E49" s="245">
        <v>0</v>
      </c>
    </row>
    <row r="50" spans="1:5" ht="15.75" customHeight="1" x14ac:dyDescent="0.35">
      <c r="A50" s="161"/>
      <c r="B50" s="144">
        <v>0</v>
      </c>
      <c r="C50" s="144">
        <v>0</v>
      </c>
      <c r="D50" s="144">
        <v>0</v>
      </c>
      <c r="E50" s="245">
        <v>0</v>
      </c>
    </row>
    <row r="51" spans="1:5" ht="15.75" customHeight="1" x14ac:dyDescent="0.35">
      <c r="A51" s="251" t="s">
        <v>438</v>
      </c>
      <c r="B51" s="243">
        <f>SUM(B52:B53)</f>
        <v>0</v>
      </c>
      <c r="C51" s="243">
        <f>SUM(C52:C53)</f>
        <v>0</v>
      </c>
      <c r="D51" s="243">
        <f t="shared" ref="D51:D53" si="7">B51-C51</f>
        <v>0</v>
      </c>
      <c r="E51" s="244">
        <v>0</v>
      </c>
    </row>
    <row r="52" spans="1:5" ht="15.75" customHeight="1" x14ac:dyDescent="0.35">
      <c r="A52" s="223"/>
      <c r="B52" s="144">
        <v>0</v>
      </c>
      <c r="C52" s="144">
        <v>0</v>
      </c>
      <c r="D52" s="144">
        <f t="shared" si="7"/>
        <v>0</v>
      </c>
      <c r="E52" s="245">
        <v>0</v>
      </c>
    </row>
    <row r="53" spans="1:5" ht="15.75" customHeight="1" x14ac:dyDescent="0.35">
      <c r="A53" s="223"/>
      <c r="B53" s="144">
        <v>0</v>
      </c>
      <c r="C53" s="144">
        <v>0</v>
      </c>
      <c r="D53" s="144">
        <f t="shared" si="7"/>
        <v>0</v>
      </c>
      <c r="E53" s="245">
        <v>0</v>
      </c>
    </row>
    <row r="54" spans="1:5" ht="15.75" customHeight="1" x14ac:dyDescent="0.35">
      <c r="A54" s="251" t="s">
        <v>439</v>
      </c>
      <c r="B54" s="243">
        <f>B51+B47+B44+B40+B17</f>
        <v>924000</v>
      </c>
      <c r="C54" s="243">
        <f>SUM('Quarterly financial'!C17)</f>
        <v>283825.39</v>
      </c>
      <c r="D54" s="243">
        <f>D51+D47+D44+D40+D17</f>
        <v>642892.30000000005</v>
      </c>
      <c r="E54" s="244">
        <f t="shared" ref="E54" si="8">D54/B54</f>
        <v>0.69577088744588744</v>
      </c>
    </row>
    <row r="55" spans="1:5" ht="15.75" customHeight="1" x14ac:dyDescent="0.35">
      <c r="A55" s="251" t="s">
        <v>440</v>
      </c>
      <c r="B55" s="410"/>
      <c r="C55" s="410"/>
      <c r="D55" s="410"/>
      <c r="E55" s="416"/>
    </row>
    <row r="56" spans="1:5" ht="24" customHeight="1" x14ac:dyDescent="0.35">
      <c r="A56" s="252" t="s">
        <v>441</v>
      </c>
      <c r="B56" s="411"/>
      <c r="C56" s="411"/>
      <c r="D56" s="411"/>
      <c r="E56" s="417"/>
    </row>
    <row r="57" spans="1:5" ht="15.75" customHeight="1" x14ac:dyDescent="0.35">
      <c r="A57" s="250" t="s">
        <v>423</v>
      </c>
      <c r="B57" s="144">
        <v>0</v>
      </c>
      <c r="C57" s="144">
        <v>0</v>
      </c>
      <c r="D57" s="144">
        <f t="shared" ref="D57:D60" si="9">B57-C57</f>
        <v>0</v>
      </c>
      <c r="E57" s="245">
        <v>0</v>
      </c>
    </row>
    <row r="58" spans="1:5" ht="15.75" customHeight="1" x14ac:dyDescent="0.35">
      <c r="A58" s="250" t="s">
        <v>424</v>
      </c>
      <c r="B58" s="144">
        <v>0</v>
      </c>
      <c r="C58" s="144">
        <v>0</v>
      </c>
      <c r="D58" s="144">
        <f t="shared" si="9"/>
        <v>0</v>
      </c>
      <c r="E58" s="245">
        <v>0</v>
      </c>
    </row>
    <row r="59" spans="1:5" ht="15.75" customHeight="1" x14ac:dyDescent="0.35">
      <c r="A59" s="250" t="s">
        <v>425</v>
      </c>
      <c r="B59" s="144">
        <v>0</v>
      </c>
      <c r="C59" s="144">
        <v>0</v>
      </c>
      <c r="D59" s="144">
        <f t="shared" si="9"/>
        <v>0</v>
      </c>
      <c r="E59" s="245">
        <v>0</v>
      </c>
    </row>
    <row r="60" spans="1:5" ht="15.75" customHeight="1" x14ac:dyDescent="0.35">
      <c r="A60" s="250" t="s">
        <v>426</v>
      </c>
      <c r="B60" s="144">
        <v>0</v>
      </c>
      <c r="C60" s="144">
        <v>0</v>
      </c>
      <c r="D60" s="144">
        <f t="shared" si="9"/>
        <v>0</v>
      </c>
      <c r="E60" s="245">
        <v>0</v>
      </c>
    </row>
    <row r="61" spans="1:5" ht="15.75" customHeight="1" x14ac:dyDescent="0.35">
      <c r="A61" s="223" t="s">
        <v>442</v>
      </c>
      <c r="B61" s="144">
        <f t="shared" ref="B61:D61" si="10">B54+B57+B58+B59+B60</f>
        <v>924000</v>
      </c>
      <c r="C61" s="144">
        <f t="shared" si="10"/>
        <v>283825.39</v>
      </c>
      <c r="D61" s="144">
        <f t="shared" si="10"/>
        <v>642892.30000000005</v>
      </c>
      <c r="E61" s="245">
        <f t="shared" ref="E61" si="11">D61/B61</f>
        <v>0.69577088744588744</v>
      </c>
    </row>
    <row r="62" spans="1:5" ht="15.75" customHeight="1" x14ac:dyDescent="0.35">
      <c r="A62" s="223" t="s">
        <v>390</v>
      </c>
      <c r="B62" s="418"/>
      <c r="C62" s="419">
        <f>B61-C61</f>
        <v>640174.61</v>
      </c>
      <c r="D62" s="418"/>
      <c r="E62" s="420"/>
    </row>
    <row r="63" spans="1:5" ht="15.75" customHeight="1" x14ac:dyDescent="0.35">
      <c r="A63" s="223" t="s">
        <v>463</v>
      </c>
      <c r="B63" s="414"/>
      <c r="C63" s="414"/>
      <c r="D63" s="414"/>
      <c r="E63" s="409"/>
    </row>
    <row r="64" spans="1:5" ht="27.75" customHeight="1" x14ac:dyDescent="0.35">
      <c r="A64" s="125"/>
      <c r="B64" s="240"/>
      <c r="C64" s="412" t="s">
        <v>443</v>
      </c>
      <c r="D64" s="240"/>
      <c r="E64" s="241"/>
    </row>
    <row r="65" spans="1:5" ht="27.75" customHeight="1" x14ac:dyDescent="0.35">
      <c r="A65" s="125"/>
      <c r="B65" s="240"/>
      <c r="C65" s="397"/>
      <c r="D65" s="240"/>
      <c r="E65" s="241"/>
    </row>
    <row r="66" spans="1:5" ht="27.75" customHeight="1" x14ac:dyDescent="0.35">
      <c r="B66" s="86"/>
      <c r="C66" s="86"/>
      <c r="D66" s="86"/>
    </row>
    <row r="67" spans="1:5" ht="15.75" customHeight="1" x14ac:dyDescent="0.35">
      <c r="B67" s="86"/>
      <c r="C67" s="86"/>
      <c r="D67" s="86"/>
    </row>
    <row r="68" spans="1:5" ht="15.75" customHeight="1" x14ac:dyDescent="0.35">
      <c r="B68" s="86"/>
      <c r="C68" s="86"/>
      <c r="D68" s="86"/>
    </row>
    <row r="69" spans="1:5" ht="15.75" customHeight="1" x14ac:dyDescent="0.35">
      <c r="B69" s="86"/>
      <c r="C69" s="86"/>
      <c r="D69" s="86"/>
    </row>
    <row r="70" spans="1:5" ht="15.75" customHeight="1" x14ac:dyDescent="0.35">
      <c r="B70" s="86"/>
      <c r="C70" s="86"/>
      <c r="D70" s="86"/>
    </row>
    <row r="71" spans="1:5" ht="15.75" customHeight="1" x14ac:dyDescent="0.35">
      <c r="B71" s="86"/>
      <c r="C71" s="86"/>
      <c r="D71" s="86"/>
    </row>
    <row r="72" spans="1:5" ht="15.75" customHeight="1" x14ac:dyDescent="0.35">
      <c r="B72" s="86"/>
      <c r="C72" s="86"/>
      <c r="D72" s="86"/>
    </row>
    <row r="73" spans="1:5" ht="15.75" customHeight="1" x14ac:dyDescent="0.35">
      <c r="B73" s="86"/>
      <c r="C73" s="86"/>
      <c r="D73" s="86"/>
    </row>
    <row r="74" spans="1:5" ht="15.75" customHeight="1" x14ac:dyDescent="0.35">
      <c r="B74" s="86"/>
      <c r="C74" s="86"/>
      <c r="D74" s="86"/>
    </row>
    <row r="75" spans="1:5" ht="15.75" customHeight="1" x14ac:dyDescent="0.35">
      <c r="B75" s="86"/>
      <c r="C75" s="86"/>
      <c r="D75" s="86"/>
    </row>
    <row r="76" spans="1:5" ht="15.75" customHeight="1" x14ac:dyDescent="0.35">
      <c r="B76" s="86"/>
      <c r="C76" s="86"/>
      <c r="D76" s="86"/>
    </row>
    <row r="77" spans="1:5" ht="15.75" customHeight="1" x14ac:dyDescent="0.35">
      <c r="B77" s="86"/>
      <c r="C77" s="86"/>
      <c r="D77" s="86"/>
    </row>
    <row r="78" spans="1:5" ht="15.75" customHeight="1" x14ac:dyDescent="0.35">
      <c r="B78" s="86"/>
      <c r="C78" s="86"/>
      <c r="D78" s="86"/>
    </row>
    <row r="79" spans="1:5" ht="15.75" customHeight="1" x14ac:dyDescent="0.35">
      <c r="B79" s="86"/>
      <c r="C79" s="86"/>
      <c r="D79" s="86"/>
    </row>
    <row r="80" spans="1:5" ht="15.75" customHeight="1" x14ac:dyDescent="0.35">
      <c r="B80" s="86"/>
      <c r="C80" s="86"/>
      <c r="D80" s="86"/>
    </row>
    <row r="81" spans="2:4" ht="15.75" customHeight="1" x14ac:dyDescent="0.35">
      <c r="B81" s="86"/>
      <c r="C81" s="86"/>
      <c r="D81" s="86"/>
    </row>
    <row r="82" spans="2:4" ht="15.75" customHeight="1" x14ac:dyDescent="0.35">
      <c r="B82" s="86"/>
      <c r="C82" s="86"/>
      <c r="D82" s="86"/>
    </row>
    <row r="83" spans="2:4" ht="15.75" customHeight="1" x14ac:dyDescent="0.35">
      <c r="B83" s="86"/>
      <c r="C83" s="86"/>
      <c r="D83" s="86"/>
    </row>
    <row r="84" spans="2:4" ht="15.75" customHeight="1" x14ac:dyDescent="0.35">
      <c r="B84" s="86"/>
      <c r="C84" s="86"/>
      <c r="D84" s="86"/>
    </row>
    <row r="85" spans="2:4" ht="15.75" customHeight="1" x14ac:dyDescent="0.35">
      <c r="B85" s="86"/>
      <c r="C85" s="86"/>
      <c r="D85" s="86"/>
    </row>
    <row r="86" spans="2:4" ht="15.75" customHeight="1" x14ac:dyDescent="0.35">
      <c r="B86" s="86"/>
      <c r="C86" s="86"/>
      <c r="D86" s="86"/>
    </row>
    <row r="87" spans="2:4" ht="15.75" customHeight="1" x14ac:dyDescent="0.35">
      <c r="B87" s="86"/>
      <c r="C87" s="86"/>
      <c r="D87" s="86"/>
    </row>
    <row r="88" spans="2:4" ht="15.75" customHeight="1" x14ac:dyDescent="0.35">
      <c r="B88" s="86"/>
      <c r="C88" s="86"/>
      <c r="D88" s="86"/>
    </row>
    <row r="89" spans="2:4" ht="15.75" customHeight="1" x14ac:dyDescent="0.35">
      <c r="B89" s="86"/>
      <c r="C89" s="86"/>
      <c r="D89" s="86"/>
    </row>
    <row r="90" spans="2:4" ht="15.75" customHeight="1" x14ac:dyDescent="0.35">
      <c r="B90" s="86"/>
      <c r="C90" s="86"/>
      <c r="D90" s="86"/>
    </row>
    <row r="91" spans="2:4" ht="15.75" customHeight="1" x14ac:dyDescent="0.35">
      <c r="B91" s="86"/>
      <c r="C91" s="86"/>
      <c r="D91" s="86"/>
    </row>
    <row r="92" spans="2:4" ht="15.75" customHeight="1" x14ac:dyDescent="0.35">
      <c r="B92" s="86"/>
      <c r="C92" s="86"/>
      <c r="D92" s="86"/>
    </row>
    <row r="93" spans="2:4" ht="15.75" customHeight="1" x14ac:dyDescent="0.35">
      <c r="B93" s="86"/>
      <c r="C93" s="86"/>
      <c r="D93" s="86"/>
    </row>
    <row r="94" spans="2:4" ht="15.75" customHeight="1" x14ac:dyDescent="0.35">
      <c r="B94" s="86"/>
      <c r="C94" s="86"/>
      <c r="D94" s="86"/>
    </row>
    <row r="95" spans="2:4" ht="15.75" customHeight="1" x14ac:dyDescent="0.35">
      <c r="B95" s="86"/>
      <c r="C95" s="86"/>
      <c r="D95" s="86"/>
    </row>
    <row r="96" spans="2:4" ht="15.75" customHeight="1" x14ac:dyDescent="0.35">
      <c r="B96" s="86"/>
      <c r="C96" s="86"/>
      <c r="D96" s="86"/>
    </row>
    <row r="97" spans="2:4" ht="15.75" customHeight="1" x14ac:dyDescent="0.35">
      <c r="B97" s="86"/>
      <c r="C97" s="86"/>
      <c r="D97" s="86"/>
    </row>
    <row r="98" spans="2:4" ht="15.75" customHeight="1" x14ac:dyDescent="0.35">
      <c r="B98" s="86"/>
      <c r="C98" s="86"/>
      <c r="D98" s="86"/>
    </row>
    <row r="99" spans="2:4" ht="15.75" customHeight="1" x14ac:dyDescent="0.35">
      <c r="B99" s="86"/>
      <c r="C99" s="86"/>
      <c r="D99" s="86"/>
    </row>
    <row r="100" spans="2:4" ht="15.75" customHeight="1" x14ac:dyDescent="0.35">
      <c r="B100" s="86"/>
      <c r="C100" s="86"/>
      <c r="D100" s="86"/>
    </row>
    <row r="101" spans="2:4" ht="15.75" customHeight="1" x14ac:dyDescent="0.35">
      <c r="B101" s="86"/>
      <c r="C101" s="86"/>
      <c r="D101" s="86"/>
    </row>
    <row r="102" spans="2:4" ht="15.75" customHeight="1" x14ac:dyDescent="0.35">
      <c r="B102" s="86"/>
      <c r="C102" s="86"/>
      <c r="D102" s="86"/>
    </row>
    <row r="103" spans="2:4" ht="15.75" customHeight="1" x14ac:dyDescent="0.35">
      <c r="B103" s="86"/>
      <c r="C103" s="86"/>
      <c r="D103" s="86"/>
    </row>
    <row r="104" spans="2:4" ht="15.75" customHeight="1" x14ac:dyDescent="0.35">
      <c r="B104" s="86"/>
      <c r="C104" s="86"/>
      <c r="D104" s="86"/>
    </row>
    <row r="105" spans="2:4" ht="15.75" customHeight="1" x14ac:dyDescent="0.35">
      <c r="B105" s="86"/>
      <c r="C105" s="86"/>
      <c r="D105" s="86"/>
    </row>
    <row r="106" spans="2:4" ht="15.75" customHeight="1" x14ac:dyDescent="0.35">
      <c r="B106" s="86"/>
      <c r="C106" s="86"/>
      <c r="D106" s="86"/>
    </row>
    <row r="107" spans="2:4" ht="15.75" customHeight="1" x14ac:dyDescent="0.35">
      <c r="B107" s="86"/>
      <c r="C107" s="86"/>
      <c r="D107" s="86"/>
    </row>
    <row r="108" spans="2:4" ht="15.75" customHeight="1" x14ac:dyDescent="0.35">
      <c r="B108" s="86"/>
      <c r="C108" s="86"/>
      <c r="D108" s="86"/>
    </row>
    <row r="109" spans="2:4" ht="15.75" customHeight="1" x14ac:dyDescent="0.35">
      <c r="B109" s="86"/>
      <c r="C109" s="86"/>
      <c r="D109" s="86"/>
    </row>
    <row r="110" spans="2:4" ht="15.75" customHeight="1" x14ac:dyDescent="0.35">
      <c r="B110" s="86"/>
      <c r="C110" s="86"/>
      <c r="D110" s="86"/>
    </row>
    <row r="111" spans="2:4" ht="15.75" customHeight="1" x14ac:dyDescent="0.35">
      <c r="B111" s="86"/>
      <c r="C111" s="86"/>
      <c r="D111" s="86"/>
    </row>
    <row r="112" spans="2:4" ht="15.75" customHeight="1" x14ac:dyDescent="0.35">
      <c r="B112" s="86"/>
      <c r="C112" s="86"/>
      <c r="D112" s="86"/>
    </row>
    <row r="113" spans="2:4" ht="15.75" customHeight="1" x14ac:dyDescent="0.35">
      <c r="B113" s="86"/>
      <c r="C113" s="86"/>
      <c r="D113" s="86"/>
    </row>
    <row r="114" spans="2:4" ht="15.75" customHeight="1" x14ac:dyDescent="0.35">
      <c r="B114" s="86"/>
      <c r="C114" s="86"/>
      <c r="D114" s="86"/>
    </row>
    <row r="115" spans="2:4" ht="15.75" customHeight="1" x14ac:dyDescent="0.35">
      <c r="B115" s="86"/>
      <c r="C115" s="86"/>
      <c r="D115" s="86"/>
    </row>
    <row r="116" spans="2:4" ht="15.75" customHeight="1" x14ac:dyDescent="0.35">
      <c r="B116" s="86"/>
      <c r="C116" s="86"/>
      <c r="D116" s="86"/>
    </row>
    <row r="117" spans="2:4" ht="15.75" customHeight="1" x14ac:dyDescent="0.35">
      <c r="B117" s="86"/>
      <c r="C117" s="86"/>
      <c r="D117" s="86"/>
    </row>
    <row r="118" spans="2:4" ht="15.75" customHeight="1" x14ac:dyDescent="0.35">
      <c r="B118" s="86"/>
      <c r="C118" s="86"/>
      <c r="D118" s="86"/>
    </row>
    <row r="119" spans="2:4" ht="15.75" customHeight="1" x14ac:dyDescent="0.35">
      <c r="B119" s="86"/>
      <c r="C119" s="86"/>
      <c r="D119" s="86"/>
    </row>
    <row r="120" spans="2:4" ht="15.75" customHeight="1" x14ac:dyDescent="0.35">
      <c r="B120" s="86"/>
      <c r="C120" s="86"/>
      <c r="D120" s="86"/>
    </row>
    <row r="121" spans="2:4" ht="15.75" customHeight="1" x14ac:dyDescent="0.35">
      <c r="B121" s="86"/>
      <c r="C121" s="86"/>
      <c r="D121" s="86"/>
    </row>
    <row r="122" spans="2:4" ht="15.75" customHeight="1" x14ac:dyDescent="0.35">
      <c r="B122" s="86"/>
      <c r="C122" s="86"/>
      <c r="D122" s="86"/>
    </row>
    <row r="123" spans="2:4" ht="15.75" customHeight="1" x14ac:dyDescent="0.35">
      <c r="B123" s="86"/>
      <c r="C123" s="86"/>
      <c r="D123" s="86"/>
    </row>
    <row r="124" spans="2:4" ht="15.75" customHeight="1" x14ac:dyDescent="0.35">
      <c r="B124" s="86"/>
      <c r="C124" s="86"/>
      <c r="D124" s="86"/>
    </row>
    <row r="125" spans="2:4" ht="15.75" customHeight="1" x14ac:dyDescent="0.35">
      <c r="B125" s="86"/>
      <c r="C125" s="86"/>
      <c r="D125" s="86"/>
    </row>
    <row r="126" spans="2:4" ht="15.75" customHeight="1" x14ac:dyDescent="0.35">
      <c r="B126" s="86"/>
      <c r="C126" s="86"/>
      <c r="D126" s="86"/>
    </row>
    <row r="127" spans="2:4" ht="15.75" customHeight="1" x14ac:dyDescent="0.35">
      <c r="B127" s="86"/>
      <c r="C127" s="86"/>
      <c r="D127" s="86"/>
    </row>
    <row r="128" spans="2:4" ht="15.75" customHeight="1" x14ac:dyDescent="0.35">
      <c r="B128" s="86"/>
      <c r="C128" s="86"/>
      <c r="D128" s="86"/>
    </row>
    <row r="129" spans="2:4" ht="15.75" customHeight="1" x14ac:dyDescent="0.35">
      <c r="B129" s="86"/>
      <c r="C129" s="86"/>
      <c r="D129" s="86"/>
    </row>
    <row r="130" spans="2:4" ht="15.75" customHeight="1" x14ac:dyDescent="0.35">
      <c r="B130" s="86"/>
      <c r="C130" s="86"/>
      <c r="D130" s="86"/>
    </row>
    <row r="131" spans="2:4" ht="15.75" customHeight="1" x14ac:dyDescent="0.35">
      <c r="B131" s="86"/>
      <c r="C131" s="86"/>
      <c r="D131" s="86"/>
    </row>
    <row r="132" spans="2:4" ht="15.75" customHeight="1" x14ac:dyDescent="0.35">
      <c r="B132" s="86"/>
      <c r="C132" s="86"/>
      <c r="D132" s="86"/>
    </row>
    <row r="133" spans="2:4" ht="15.75" customHeight="1" x14ac:dyDescent="0.35">
      <c r="B133" s="86"/>
      <c r="C133" s="86"/>
      <c r="D133" s="86"/>
    </row>
    <row r="134" spans="2:4" ht="15.75" customHeight="1" x14ac:dyDescent="0.35">
      <c r="B134" s="86"/>
      <c r="C134" s="86"/>
      <c r="D134" s="86"/>
    </row>
    <row r="135" spans="2:4" ht="15.75" customHeight="1" x14ac:dyDescent="0.35">
      <c r="B135" s="86"/>
      <c r="C135" s="86"/>
      <c r="D135" s="86"/>
    </row>
    <row r="136" spans="2:4" ht="15.75" customHeight="1" x14ac:dyDescent="0.35">
      <c r="B136" s="86"/>
      <c r="C136" s="86"/>
      <c r="D136" s="86"/>
    </row>
    <row r="137" spans="2:4" ht="15.75" customHeight="1" x14ac:dyDescent="0.35">
      <c r="B137" s="86"/>
      <c r="C137" s="86"/>
      <c r="D137" s="86"/>
    </row>
    <row r="138" spans="2:4" ht="15.75" customHeight="1" x14ac:dyDescent="0.35">
      <c r="B138" s="86"/>
      <c r="C138" s="86"/>
      <c r="D138" s="86"/>
    </row>
    <row r="139" spans="2:4" ht="15.75" customHeight="1" x14ac:dyDescent="0.35">
      <c r="B139" s="86"/>
      <c r="C139" s="86"/>
      <c r="D139" s="86"/>
    </row>
    <row r="140" spans="2:4" ht="15.75" customHeight="1" x14ac:dyDescent="0.35">
      <c r="B140" s="86"/>
      <c r="C140" s="86"/>
      <c r="D140" s="86"/>
    </row>
    <row r="141" spans="2:4" ht="15.75" customHeight="1" x14ac:dyDescent="0.35">
      <c r="B141" s="86"/>
      <c r="C141" s="86"/>
      <c r="D141" s="86"/>
    </row>
    <row r="142" spans="2:4" ht="15.75" customHeight="1" x14ac:dyDescent="0.35">
      <c r="B142" s="86"/>
      <c r="C142" s="86"/>
      <c r="D142" s="86"/>
    </row>
    <row r="143" spans="2:4" ht="15.75" customHeight="1" x14ac:dyDescent="0.35">
      <c r="B143" s="86"/>
      <c r="C143" s="86"/>
      <c r="D143" s="86"/>
    </row>
    <row r="144" spans="2:4" ht="15.75" customHeight="1" x14ac:dyDescent="0.35">
      <c r="B144" s="86"/>
      <c r="C144" s="86"/>
      <c r="D144" s="86"/>
    </row>
    <row r="145" spans="2:4" ht="15.75" customHeight="1" x14ac:dyDescent="0.35">
      <c r="B145" s="86"/>
      <c r="C145" s="86"/>
      <c r="D145" s="86"/>
    </row>
    <row r="146" spans="2:4" ht="15.75" customHeight="1" x14ac:dyDescent="0.35">
      <c r="B146" s="86"/>
      <c r="C146" s="86"/>
      <c r="D146" s="86"/>
    </row>
    <row r="147" spans="2:4" ht="15.75" customHeight="1" x14ac:dyDescent="0.35">
      <c r="B147" s="86"/>
      <c r="C147" s="86"/>
      <c r="D147" s="86"/>
    </row>
    <row r="148" spans="2:4" ht="15.75" customHeight="1" x14ac:dyDescent="0.35">
      <c r="B148" s="86"/>
      <c r="C148" s="86"/>
      <c r="D148" s="86"/>
    </row>
    <row r="149" spans="2:4" ht="15.75" customHeight="1" x14ac:dyDescent="0.35">
      <c r="B149" s="86"/>
      <c r="C149" s="86"/>
      <c r="D149" s="86"/>
    </row>
    <row r="150" spans="2:4" ht="15.75" customHeight="1" x14ac:dyDescent="0.35">
      <c r="B150" s="86"/>
      <c r="C150" s="86"/>
      <c r="D150" s="86"/>
    </row>
    <row r="151" spans="2:4" ht="15.75" customHeight="1" x14ac:dyDescent="0.35">
      <c r="B151" s="86"/>
      <c r="C151" s="86"/>
      <c r="D151" s="86"/>
    </row>
    <row r="152" spans="2:4" ht="15.75" customHeight="1" x14ac:dyDescent="0.35">
      <c r="B152" s="86"/>
      <c r="C152" s="86"/>
      <c r="D152" s="86"/>
    </row>
    <row r="153" spans="2:4" ht="15.75" customHeight="1" x14ac:dyDescent="0.35">
      <c r="B153" s="86"/>
      <c r="C153" s="86"/>
      <c r="D153" s="86"/>
    </row>
    <row r="154" spans="2:4" ht="15.75" customHeight="1" x14ac:dyDescent="0.35">
      <c r="B154" s="86"/>
      <c r="C154" s="86"/>
      <c r="D154" s="86"/>
    </row>
    <row r="155" spans="2:4" ht="15.75" customHeight="1" x14ac:dyDescent="0.35">
      <c r="B155" s="86"/>
      <c r="C155" s="86"/>
      <c r="D155" s="86"/>
    </row>
    <row r="156" spans="2:4" ht="15.75" customHeight="1" x14ac:dyDescent="0.35">
      <c r="B156" s="86"/>
      <c r="C156" s="86"/>
      <c r="D156" s="86"/>
    </row>
    <row r="157" spans="2:4" ht="15.75" customHeight="1" x14ac:dyDescent="0.35">
      <c r="B157" s="86"/>
      <c r="C157" s="86"/>
      <c r="D157" s="86"/>
    </row>
    <row r="158" spans="2:4" ht="15.75" customHeight="1" x14ac:dyDescent="0.35">
      <c r="B158" s="86"/>
      <c r="C158" s="86"/>
      <c r="D158" s="86"/>
    </row>
    <row r="159" spans="2:4" ht="15.75" customHeight="1" x14ac:dyDescent="0.35">
      <c r="B159" s="86"/>
      <c r="C159" s="86"/>
      <c r="D159" s="86"/>
    </row>
    <row r="160" spans="2:4" ht="15.75" customHeight="1" x14ac:dyDescent="0.35">
      <c r="B160" s="86"/>
      <c r="C160" s="86"/>
      <c r="D160" s="86"/>
    </row>
    <row r="161" spans="2:4" ht="15.75" customHeight="1" x14ac:dyDescent="0.35">
      <c r="B161" s="86"/>
      <c r="C161" s="86"/>
      <c r="D161" s="86"/>
    </row>
    <row r="162" spans="2:4" ht="15.75" customHeight="1" x14ac:dyDescent="0.35">
      <c r="B162" s="86"/>
      <c r="C162" s="86"/>
      <c r="D162" s="86"/>
    </row>
    <row r="163" spans="2:4" ht="15.75" customHeight="1" x14ac:dyDescent="0.35">
      <c r="B163" s="86"/>
      <c r="C163" s="86"/>
      <c r="D163" s="86"/>
    </row>
    <row r="164" spans="2:4" ht="15.75" customHeight="1" x14ac:dyDescent="0.35">
      <c r="B164" s="86"/>
      <c r="C164" s="86"/>
      <c r="D164" s="86"/>
    </row>
    <row r="165" spans="2:4" ht="15.75" customHeight="1" x14ac:dyDescent="0.35">
      <c r="B165" s="86"/>
      <c r="C165" s="86"/>
      <c r="D165" s="86"/>
    </row>
    <row r="166" spans="2:4" ht="15.75" customHeight="1" x14ac:dyDescent="0.35">
      <c r="B166" s="86"/>
      <c r="C166" s="86"/>
      <c r="D166" s="86"/>
    </row>
    <row r="167" spans="2:4" ht="15.75" customHeight="1" x14ac:dyDescent="0.35">
      <c r="B167" s="86"/>
      <c r="C167" s="86"/>
      <c r="D167" s="86"/>
    </row>
    <row r="168" spans="2:4" ht="15.75" customHeight="1" x14ac:dyDescent="0.35">
      <c r="B168" s="86"/>
      <c r="C168" s="86"/>
      <c r="D168" s="86"/>
    </row>
    <row r="169" spans="2:4" ht="15.75" customHeight="1" x14ac:dyDescent="0.35">
      <c r="B169" s="86"/>
      <c r="C169" s="86"/>
      <c r="D169" s="86"/>
    </row>
    <row r="170" spans="2:4" ht="15.75" customHeight="1" x14ac:dyDescent="0.35">
      <c r="B170" s="86"/>
      <c r="C170" s="86"/>
      <c r="D170" s="86"/>
    </row>
    <row r="171" spans="2:4" ht="15.75" customHeight="1" x14ac:dyDescent="0.35">
      <c r="B171" s="86"/>
      <c r="C171" s="86"/>
      <c r="D171" s="86"/>
    </row>
    <row r="172" spans="2:4" ht="15.75" customHeight="1" x14ac:dyDescent="0.35">
      <c r="B172" s="86"/>
      <c r="C172" s="86"/>
      <c r="D172" s="86"/>
    </row>
    <row r="173" spans="2:4" ht="15.75" customHeight="1" x14ac:dyDescent="0.35">
      <c r="B173" s="86"/>
      <c r="C173" s="86"/>
      <c r="D173" s="86"/>
    </row>
    <row r="174" spans="2:4" ht="15.75" customHeight="1" x14ac:dyDescent="0.35">
      <c r="B174" s="86"/>
      <c r="C174" s="86"/>
      <c r="D174" s="86"/>
    </row>
    <row r="175" spans="2:4" ht="15.75" customHeight="1" x14ac:dyDescent="0.35">
      <c r="B175" s="86"/>
      <c r="C175" s="86"/>
      <c r="D175" s="86"/>
    </row>
    <row r="176" spans="2:4" ht="15.75" customHeight="1" x14ac:dyDescent="0.35">
      <c r="B176" s="86"/>
      <c r="C176" s="86"/>
      <c r="D176" s="86"/>
    </row>
    <row r="177" spans="2:4" ht="15.75" customHeight="1" x14ac:dyDescent="0.35">
      <c r="B177" s="86"/>
      <c r="C177" s="86"/>
      <c r="D177" s="86"/>
    </row>
    <row r="178" spans="2:4" ht="15.75" customHeight="1" x14ac:dyDescent="0.35">
      <c r="B178" s="86"/>
      <c r="C178" s="86"/>
      <c r="D178" s="86"/>
    </row>
    <row r="179" spans="2:4" ht="15.75" customHeight="1" x14ac:dyDescent="0.35">
      <c r="B179" s="86"/>
      <c r="C179" s="86"/>
      <c r="D179" s="86"/>
    </row>
    <row r="180" spans="2:4" ht="15.75" customHeight="1" x14ac:dyDescent="0.35">
      <c r="B180" s="86"/>
      <c r="C180" s="86"/>
      <c r="D180" s="86"/>
    </row>
    <row r="181" spans="2:4" ht="15.75" customHeight="1" x14ac:dyDescent="0.35">
      <c r="B181" s="86"/>
      <c r="C181" s="86"/>
      <c r="D181" s="86"/>
    </row>
    <row r="182" spans="2:4" ht="15.75" customHeight="1" x14ac:dyDescent="0.35">
      <c r="B182" s="86"/>
      <c r="C182" s="86"/>
      <c r="D182" s="86"/>
    </row>
    <row r="183" spans="2:4" ht="15.75" customHeight="1" x14ac:dyDescent="0.35">
      <c r="B183" s="86"/>
      <c r="C183" s="86"/>
      <c r="D183" s="86"/>
    </row>
    <row r="184" spans="2:4" ht="15.75" customHeight="1" x14ac:dyDescent="0.35">
      <c r="B184" s="86"/>
      <c r="C184" s="86"/>
      <c r="D184" s="86"/>
    </row>
    <row r="185" spans="2:4" ht="15.75" customHeight="1" x14ac:dyDescent="0.35">
      <c r="B185" s="86"/>
      <c r="C185" s="86"/>
      <c r="D185" s="86"/>
    </row>
    <row r="186" spans="2:4" ht="15.75" customHeight="1" x14ac:dyDescent="0.35">
      <c r="B186" s="86"/>
      <c r="C186" s="86"/>
      <c r="D186" s="86"/>
    </row>
    <row r="187" spans="2:4" ht="15.75" customHeight="1" x14ac:dyDescent="0.35">
      <c r="B187" s="86"/>
      <c r="C187" s="86"/>
      <c r="D187" s="86"/>
    </row>
    <row r="188" spans="2:4" ht="15.75" customHeight="1" x14ac:dyDescent="0.35">
      <c r="B188" s="86"/>
      <c r="C188" s="86"/>
      <c r="D188" s="86"/>
    </row>
    <row r="189" spans="2:4" ht="15.75" customHeight="1" x14ac:dyDescent="0.35">
      <c r="B189" s="86"/>
      <c r="C189" s="86"/>
      <c r="D189" s="86"/>
    </row>
    <row r="190" spans="2:4" ht="15.75" customHeight="1" x14ac:dyDescent="0.35">
      <c r="B190" s="86"/>
      <c r="C190" s="86"/>
      <c r="D190" s="86"/>
    </row>
    <row r="191" spans="2:4" ht="15.75" customHeight="1" x14ac:dyDescent="0.35">
      <c r="B191" s="86"/>
      <c r="C191" s="86"/>
      <c r="D191" s="86"/>
    </row>
    <row r="192" spans="2:4" ht="15.75" customHeight="1" x14ac:dyDescent="0.35">
      <c r="B192" s="86"/>
      <c r="C192" s="86"/>
      <c r="D192" s="86"/>
    </row>
    <row r="193" spans="2:4" ht="15.75" customHeight="1" x14ac:dyDescent="0.35">
      <c r="B193" s="86"/>
      <c r="C193" s="86"/>
      <c r="D193" s="86"/>
    </row>
    <row r="194" spans="2:4" ht="15.75" customHeight="1" x14ac:dyDescent="0.35">
      <c r="B194" s="86"/>
      <c r="C194" s="86"/>
      <c r="D194" s="86"/>
    </row>
    <row r="195" spans="2:4" ht="15.75" customHeight="1" x14ac:dyDescent="0.35">
      <c r="B195" s="86"/>
      <c r="C195" s="86"/>
      <c r="D195" s="86"/>
    </row>
    <row r="196" spans="2:4" ht="15.75" customHeight="1" x14ac:dyDescent="0.35">
      <c r="B196" s="86"/>
      <c r="C196" s="86"/>
      <c r="D196" s="86"/>
    </row>
    <row r="197" spans="2:4" ht="15.75" customHeight="1" x14ac:dyDescent="0.35">
      <c r="B197" s="86"/>
      <c r="C197" s="86"/>
      <c r="D197" s="86"/>
    </row>
    <row r="198" spans="2:4" ht="15.75" customHeight="1" x14ac:dyDescent="0.35">
      <c r="B198" s="86"/>
      <c r="C198" s="86"/>
      <c r="D198" s="86"/>
    </row>
    <row r="199" spans="2:4" ht="15.75" customHeight="1" x14ac:dyDescent="0.35">
      <c r="B199" s="86"/>
      <c r="C199" s="86"/>
      <c r="D199" s="86"/>
    </row>
    <row r="200" spans="2:4" ht="15.75" customHeight="1" x14ac:dyDescent="0.35">
      <c r="B200" s="86"/>
      <c r="C200" s="86"/>
      <c r="D200" s="86"/>
    </row>
    <row r="201" spans="2:4" ht="15.75" customHeight="1" x14ac:dyDescent="0.35">
      <c r="B201" s="86"/>
      <c r="C201" s="86"/>
      <c r="D201" s="86"/>
    </row>
    <row r="202" spans="2:4" ht="15.75" customHeight="1" x14ac:dyDescent="0.35">
      <c r="B202" s="86"/>
      <c r="C202" s="86"/>
      <c r="D202" s="86"/>
    </row>
    <row r="203" spans="2:4" ht="15.75" customHeight="1" x14ac:dyDescent="0.35">
      <c r="B203" s="86"/>
      <c r="C203" s="86"/>
      <c r="D203" s="86"/>
    </row>
    <row r="204" spans="2:4" ht="15.75" customHeight="1" x14ac:dyDescent="0.35">
      <c r="B204" s="86"/>
      <c r="C204" s="86"/>
      <c r="D204" s="86"/>
    </row>
    <row r="205" spans="2:4" ht="15.75" customHeight="1" x14ac:dyDescent="0.35">
      <c r="B205" s="86"/>
      <c r="C205" s="86"/>
      <c r="D205" s="86"/>
    </row>
    <row r="206" spans="2:4" ht="15.75" customHeight="1" x14ac:dyDescent="0.35">
      <c r="B206" s="86"/>
      <c r="C206" s="86"/>
      <c r="D206" s="86"/>
    </row>
    <row r="207" spans="2:4" ht="15.75" customHeight="1" x14ac:dyDescent="0.35">
      <c r="B207" s="86"/>
      <c r="C207" s="86"/>
      <c r="D207" s="86"/>
    </row>
    <row r="208" spans="2:4" ht="15.75" customHeight="1" x14ac:dyDescent="0.35">
      <c r="B208" s="86"/>
      <c r="C208" s="86"/>
      <c r="D208" s="86"/>
    </row>
    <row r="209" spans="2:4" ht="15.75" customHeight="1" x14ac:dyDescent="0.35">
      <c r="B209" s="86"/>
      <c r="C209" s="86"/>
      <c r="D209" s="86"/>
    </row>
    <row r="210" spans="2:4" ht="15.75" customHeight="1" x14ac:dyDescent="0.35">
      <c r="B210" s="86"/>
      <c r="C210" s="86"/>
      <c r="D210" s="86"/>
    </row>
    <row r="211" spans="2:4" ht="15.75" customHeight="1" x14ac:dyDescent="0.35">
      <c r="B211" s="86"/>
      <c r="C211" s="86"/>
      <c r="D211" s="86"/>
    </row>
    <row r="212" spans="2:4" ht="15.75" customHeight="1" x14ac:dyDescent="0.35">
      <c r="B212" s="86"/>
      <c r="C212" s="86"/>
      <c r="D212" s="86"/>
    </row>
    <row r="213" spans="2:4" ht="15.75" customHeight="1" x14ac:dyDescent="0.35">
      <c r="B213" s="86"/>
      <c r="C213" s="86"/>
      <c r="D213" s="86"/>
    </row>
    <row r="214" spans="2:4" ht="15.75" customHeight="1" x14ac:dyDescent="0.35">
      <c r="B214" s="86"/>
      <c r="C214" s="86"/>
      <c r="D214" s="86"/>
    </row>
    <row r="215" spans="2:4" ht="15.75" customHeight="1" x14ac:dyDescent="0.35">
      <c r="B215" s="86"/>
      <c r="C215" s="86"/>
      <c r="D215" s="86"/>
    </row>
    <row r="216" spans="2:4" ht="15.75" customHeight="1" x14ac:dyDescent="0.35">
      <c r="B216" s="86"/>
      <c r="C216" s="86"/>
      <c r="D216" s="86"/>
    </row>
    <row r="217" spans="2:4" ht="15.75" customHeight="1" x14ac:dyDescent="0.35">
      <c r="B217" s="86"/>
      <c r="C217" s="86"/>
      <c r="D217" s="86"/>
    </row>
    <row r="218" spans="2:4" ht="15.75" customHeight="1" x14ac:dyDescent="0.35">
      <c r="B218" s="86"/>
      <c r="C218" s="86"/>
      <c r="D218" s="86"/>
    </row>
    <row r="219" spans="2:4" ht="15.75" customHeight="1" x14ac:dyDescent="0.35">
      <c r="B219" s="86"/>
      <c r="C219" s="86"/>
      <c r="D219" s="86"/>
    </row>
    <row r="220" spans="2:4" ht="15.75" customHeight="1" x14ac:dyDescent="0.35">
      <c r="B220" s="86"/>
      <c r="C220" s="86"/>
      <c r="D220" s="86"/>
    </row>
    <row r="221" spans="2:4" ht="15.75" customHeight="1" x14ac:dyDescent="0.35">
      <c r="B221" s="86"/>
      <c r="C221" s="86"/>
      <c r="D221" s="86"/>
    </row>
    <row r="222" spans="2:4" ht="15.75" customHeight="1" x14ac:dyDescent="0.35">
      <c r="B222" s="86"/>
      <c r="C222" s="86"/>
      <c r="D222" s="86"/>
    </row>
    <row r="223" spans="2:4" ht="15.75" customHeight="1" x14ac:dyDescent="0.35">
      <c r="B223" s="86"/>
      <c r="C223" s="86"/>
      <c r="D223" s="86"/>
    </row>
    <row r="224" spans="2:4" ht="15.75" customHeight="1" x14ac:dyDescent="0.35">
      <c r="B224" s="86"/>
      <c r="C224" s="86"/>
      <c r="D224" s="86"/>
    </row>
    <row r="225" spans="2:4" ht="15.75" customHeight="1" x14ac:dyDescent="0.35">
      <c r="B225" s="86"/>
      <c r="C225" s="86"/>
      <c r="D225" s="86"/>
    </row>
    <row r="226" spans="2:4" ht="15.75" customHeight="1" x14ac:dyDescent="0.35">
      <c r="B226" s="86"/>
      <c r="C226" s="86"/>
      <c r="D226" s="86"/>
    </row>
    <row r="227" spans="2:4" ht="15.75" customHeight="1" x14ac:dyDescent="0.35">
      <c r="B227" s="86"/>
      <c r="C227" s="86"/>
      <c r="D227" s="86"/>
    </row>
    <row r="228" spans="2:4" ht="15.75" customHeight="1" x14ac:dyDescent="0.35">
      <c r="B228" s="86"/>
      <c r="C228" s="86"/>
      <c r="D228" s="86"/>
    </row>
    <row r="229" spans="2:4" ht="15.75" customHeight="1" x14ac:dyDescent="0.35">
      <c r="B229" s="86"/>
      <c r="C229" s="86"/>
      <c r="D229" s="86"/>
    </row>
    <row r="230" spans="2:4" ht="15.75" customHeight="1" x14ac:dyDescent="0.35">
      <c r="B230" s="86"/>
      <c r="C230" s="86"/>
      <c r="D230" s="86"/>
    </row>
    <row r="231" spans="2:4" ht="15.75" customHeight="1" x14ac:dyDescent="0.35">
      <c r="B231" s="86"/>
      <c r="C231" s="86"/>
      <c r="D231" s="86"/>
    </row>
    <row r="232" spans="2:4" ht="15.75" customHeight="1" x14ac:dyDescent="0.35">
      <c r="B232" s="86"/>
      <c r="C232" s="86"/>
      <c r="D232" s="86"/>
    </row>
    <row r="233" spans="2:4" ht="15.75" customHeight="1" x14ac:dyDescent="0.35">
      <c r="B233" s="86"/>
      <c r="C233" s="86"/>
      <c r="D233" s="86"/>
    </row>
    <row r="234" spans="2:4" ht="15.75" customHeight="1" x14ac:dyDescent="0.35">
      <c r="B234" s="86"/>
      <c r="C234" s="86"/>
      <c r="D234" s="86"/>
    </row>
    <row r="235" spans="2:4" ht="15.75" customHeight="1" x14ac:dyDescent="0.35">
      <c r="B235" s="86"/>
      <c r="C235" s="86"/>
      <c r="D235" s="86"/>
    </row>
    <row r="236" spans="2:4" ht="15.75" customHeight="1" x14ac:dyDescent="0.35">
      <c r="B236" s="86"/>
      <c r="C236" s="86"/>
      <c r="D236" s="86"/>
    </row>
    <row r="237" spans="2:4" ht="15.75" customHeight="1" x14ac:dyDescent="0.35">
      <c r="B237" s="86"/>
      <c r="C237" s="86"/>
      <c r="D237" s="86"/>
    </row>
    <row r="238" spans="2:4" ht="15.75" customHeight="1" x14ac:dyDescent="0.35">
      <c r="B238" s="86"/>
      <c r="C238" s="86"/>
      <c r="D238" s="86"/>
    </row>
    <row r="239" spans="2:4" ht="15.75" customHeight="1" x14ac:dyDescent="0.35">
      <c r="B239" s="86"/>
      <c r="C239" s="86"/>
      <c r="D239" s="86"/>
    </row>
    <row r="240" spans="2:4" ht="15.75" customHeight="1" x14ac:dyDescent="0.35">
      <c r="B240" s="86"/>
      <c r="C240" s="86"/>
      <c r="D240" s="86"/>
    </row>
    <row r="241" spans="2:4" ht="15.75" customHeight="1" x14ac:dyDescent="0.35">
      <c r="B241" s="86"/>
      <c r="C241" s="86"/>
      <c r="D241" s="86"/>
    </row>
    <row r="242" spans="2:4" ht="15.75" customHeight="1" x14ac:dyDescent="0.35">
      <c r="B242" s="86"/>
      <c r="C242" s="86"/>
      <c r="D242" s="86"/>
    </row>
    <row r="243" spans="2:4" ht="15.75" customHeight="1" x14ac:dyDescent="0.35">
      <c r="B243" s="86"/>
      <c r="C243" s="86"/>
      <c r="D243" s="86"/>
    </row>
    <row r="244" spans="2:4" ht="15.75" customHeight="1" x14ac:dyDescent="0.35">
      <c r="B244" s="86"/>
      <c r="C244" s="86"/>
      <c r="D244" s="86"/>
    </row>
    <row r="245" spans="2:4" ht="15.75" customHeight="1" x14ac:dyDescent="0.35">
      <c r="B245" s="86"/>
      <c r="C245" s="86"/>
      <c r="D245" s="86"/>
    </row>
    <row r="246" spans="2:4" ht="15.75" customHeight="1" x14ac:dyDescent="0.35">
      <c r="B246" s="86"/>
      <c r="C246" s="86"/>
      <c r="D246" s="86"/>
    </row>
    <row r="247" spans="2:4" ht="15.75" customHeight="1" x14ac:dyDescent="0.35">
      <c r="B247" s="86"/>
      <c r="C247" s="86"/>
      <c r="D247" s="86"/>
    </row>
    <row r="248" spans="2:4" ht="15.75" customHeight="1" x14ac:dyDescent="0.35">
      <c r="B248" s="86"/>
      <c r="C248" s="86"/>
      <c r="D248" s="86"/>
    </row>
    <row r="249" spans="2:4" ht="15.75" customHeight="1" x14ac:dyDescent="0.35">
      <c r="B249" s="86"/>
      <c r="C249" s="86"/>
      <c r="D249" s="86"/>
    </row>
    <row r="250" spans="2:4" ht="15.75" customHeight="1" x14ac:dyDescent="0.35">
      <c r="B250" s="86"/>
      <c r="C250" s="86"/>
      <c r="D250" s="86"/>
    </row>
    <row r="251" spans="2:4" ht="15.75" customHeight="1" x14ac:dyDescent="0.35">
      <c r="B251" s="86"/>
      <c r="C251" s="86"/>
      <c r="D251" s="86"/>
    </row>
    <row r="252" spans="2:4" ht="15.75" customHeight="1" x14ac:dyDescent="0.35">
      <c r="B252" s="86"/>
      <c r="C252" s="86"/>
      <c r="D252" s="86"/>
    </row>
    <row r="253" spans="2:4" ht="15.75" customHeight="1" x14ac:dyDescent="0.35">
      <c r="B253" s="86"/>
      <c r="C253" s="86"/>
      <c r="D253" s="86"/>
    </row>
    <row r="254" spans="2:4" ht="15.75" customHeight="1" x14ac:dyDescent="0.35">
      <c r="B254" s="86"/>
      <c r="C254" s="86"/>
      <c r="D254" s="86"/>
    </row>
    <row r="255" spans="2:4" ht="15.75" customHeight="1" x14ac:dyDescent="0.35">
      <c r="B255" s="86"/>
      <c r="C255" s="86"/>
      <c r="D255" s="86"/>
    </row>
    <row r="256" spans="2:4" ht="15.75" customHeight="1" x14ac:dyDescent="0.35">
      <c r="B256" s="86"/>
      <c r="C256" s="86"/>
      <c r="D256" s="86"/>
    </row>
    <row r="257" spans="2:4" ht="15.75" customHeight="1" x14ac:dyDescent="0.35">
      <c r="B257" s="86"/>
      <c r="C257" s="86"/>
      <c r="D257" s="86"/>
    </row>
    <row r="258" spans="2:4" ht="15.75" customHeight="1" x14ac:dyDescent="0.35">
      <c r="B258" s="86"/>
      <c r="C258" s="86"/>
      <c r="D258" s="86"/>
    </row>
    <row r="259" spans="2:4" ht="15.75" customHeight="1" x14ac:dyDescent="0.35">
      <c r="B259" s="86"/>
      <c r="C259" s="86"/>
      <c r="D259" s="86"/>
    </row>
    <row r="260" spans="2:4" ht="15.75" customHeight="1" x14ac:dyDescent="0.35">
      <c r="B260" s="86"/>
      <c r="C260" s="86"/>
      <c r="D260" s="86"/>
    </row>
    <row r="261" spans="2:4" ht="15.75" customHeight="1" x14ac:dyDescent="0.35">
      <c r="B261" s="86"/>
      <c r="C261" s="86"/>
      <c r="D261" s="86"/>
    </row>
    <row r="262" spans="2:4" ht="15.75" customHeight="1" x14ac:dyDescent="0.35">
      <c r="B262" s="86"/>
      <c r="C262" s="86"/>
      <c r="D262" s="86"/>
    </row>
    <row r="263" spans="2:4" ht="15.75" customHeight="1" x14ac:dyDescent="0.35">
      <c r="B263" s="86"/>
      <c r="C263" s="86"/>
      <c r="D263" s="86"/>
    </row>
    <row r="264" spans="2:4" ht="15.75" customHeight="1" x14ac:dyDescent="0.35">
      <c r="B264" s="86"/>
      <c r="C264" s="86"/>
      <c r="D264" s="86"/>
    </row>
    <row r="265" spans="2:4" ht="15.75" customHeight="1" x14ac:dyDescent="0.35"/>
    <row r="266" spans="2:4" ht="15.75" customHeight="1" x14ac:dyDescent="0.35"/>
    <row r="267" spans="2:4" ht="15.75" customHeight="1" x14ac:dyDescent="0.35"/>
    <row r="268" spans="2:4" ht="15.75" customHeight="1" x14ac:dyDescent="0.35"/>
    <row r="269" spans="2:4" ht="15.75" customHeight="1" x14ac:dyDescent="0.35"/>
    <row r="270" spans="2:4" ht="15.75" customHeight="1" x14ac:dyDescent="0.35"/>
    <row r="271" spans="2:4" ht="15.75" customHeight="1" x14ac:dyDescent="0.35"/>
    <row r="272" spans="2:4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</sheetData>
  <mergeCells count="14">
    <mergeCell ref="E2:E3"/>
    <mergeCell ref="B55:B56"/>
    <mergeCell ref="C55:C56"/>
    <mergeCell ref="C64:C65"/>
    <mergeCell ref="A2:A3"/>
    <mergeCell ref="B2:B3"/>
    <mergeCell ref="C2:C3"/>
    <mergeCell ref="D2:D3"/>
    <mergeCell ref="D55:D56"/>
    <mergeCell ref="E55:E56"/>
    <mergeCell ref="B62:B63"/>
    <mergeCell ref="C62:C63"/>
    <mergeCell ref="D62:D63"/>
    <mergeCell ref="E62:E63"/>
  </mergeCells>
  <pageMargins left="0.7" right="0.7" top="0.75" bottom="0.75" header="0.3" footer="0.3"/>
  <pageSetup paperSize="8" scale="75" fitToWidth="0" orientation="portrait" r:id="rId1"/>
  <headerFooter>
    <oddHeader>&amp;L 004280ACCUMULATED FINANCIAL INFORMATION</oddHeader>
    <oddFooter>&amp;C 13_TEM_FinancialInformation_V1.0_20180131</oddFooter>
  </headerFooter>
</worksheet>
</file>

<file path=docMetadata/LabelInfo.xml><?xml version="1.0" encoding="utf-8"?>
<clbl:labelList xmlns:clbl="http://schemas.microsoft.com/office/2020/mipLabelMetadata">
  <clbl:label id="{bedb0bcf-fc86-46fa-b1f0-c7719e40c7e1}" enabled="1" method="Privileged" siteId="{b0db2de3-03fb-4b84-ac2e-2d33846e883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Plan </vt:lpstr>
      <vt:lpstr>Breakdown expediture</vt:lpstr>
      <vt:lpstr>Quarterly financial</vt:lpstr>
      <vt:lpstr>Next Quarter Projection</vt:lpstr>
      <vt:lpstr>Bank and cash reconciliation</vt:lpstr>
      <vt:lpstr>Accumulated financial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Nondumiso Ngwenya</dc:creator>
  <cp:lastModifiedBy>Ashaal Roopchan</cp:lastModifiedBy>
  <cp:lastPrinted>2024-07-19T11:47:26Z</cp:lastPrinted>
  <dcterms:created xsi:type="dcterms:W3CDTF">2024-07-19T11:36:24Z</dcterms:created>
  <dcterms:modified xsi:type="dcterms:W3CDTF">2025-04-22T08:32:18Z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b0bcf-fc86-46fa-b1f0-c7719e40c7e1_Enabled">
    <vt:lpwstr>true</vt:lpwstr>
  </property>
  <property fmtid="{D5CDD505-2E9C-101B-9397-08002B2CF9AE}" pid="3" name="MSIP_Label_bedb0bcf-fc86-46fa-b1f0-c7719e40c7e1_SetDate">
    <vt:lpwstr>2024-10-09T11:00:08Z</vt:lpwstr>
  </property>
  <property fmtid="{D5CDD505-2E9C-101B-9397-08002B2CF9AE}" pid="4" name="MSIP_Label_bedb0bcf-fc86-46fa-b1f0-c7719e40c7e1_Method">
    <vt:lpwstr>Privileged</vt:lpwstr>
  </property>
  <property fmtid="{D5CDD505-2E9C-101B-9397-08002B2CF9AE}" pid="5" name="MSIP_Label_bedb0bcf-fc86-46fa-b1f0-c7719e40c7e1_Name">
    <vt:lpwstr>Restricted Internal</vt:lpwstr>
  </property>
  <property fmtid="{D5CDD505-2E9C-101B-9397-08002B2CF9AE}" pid="6" name="MSIP_Label_bedb0bcf-fc86-46fa-b1f0-c7719e40c7e1_SiteId">
    <vt:lpwstr>b0db2de3-03fb-4b84-ac2e-2d33846e8834</vt:lpwstr>
  </property>
  <property fmtid="{D5CDD505-2E9C-101B-9397-08002B2CF9AE}" pid="7" name="MSIP_Label_bedb0bcf-fc86-46fa-b1f0-c7719e40c7e1_ActionId">
    <vt:lpwstr>f86dad0b-1a10-4781-b945-6d8401c77cb1</vt:lpwstr>
  </property>
  <property fmtid="{D5CDD505-2E9C-101B-9397-08002B2CF9AE}" pid="8" name="MSIP_Label_bedb0bcf-fc86-46fa-b1f0-c7719e40c7e1_ContentBits">
    <vt:lpwstr>0</vt:lpwstr>
  </property>
</Properties>
</file>