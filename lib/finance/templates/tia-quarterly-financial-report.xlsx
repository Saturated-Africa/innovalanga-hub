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firstSheet="3" activeTab="5"/>
  </bookViews>
  <sheets>
    <sheet sheetId="1" name="Project Plan " state="visible" r:id="rId4"/>
    <sheet sheetId="2" name="Breakdown expediture" state="visible" r:id="rId5"/>
    <sheet sheetId="3" name="Quarterly financial" state="visible" r:id="rId6"/>
    <sheet sheetId="4" name="Next Quarter Projection" state="visible" r:id="rId7"/>
    <sheet sheetId="5" name="Bank and cash reconciliation" state="visible" r:id="rId8"/>
    <sheet sheetId="6" name="Accumulated financial info" state="visible" r:id="rId9"/>
  </sheets>
  <calcPr calcId="171027" fullCalcOnLoad="1"/>
</workbook>
</file>

<file path=xl/sharedStrings.xml><?xml version="1.0" encoding="utf-8"?>
<sst xmlns="http://schemas.openxmlformats.org/spreadsheetml/2006/main" count="380" uniqueCount="280">
  <si>
    <t>Milestone</t>
  </si>
  <si>
    <t xml:space="preserve">Work Package </t>
  </si>
  <si>
    <t>Objective</t>
  </si>
  <si>
    <t xml:space="preserve">Activities </t>
  </si>
  <si>
    <t>Deliverables</t>
  </si>
  <si>
    <t xml:space="preserve">Format of Deliverable </t>
  </si>
  <si>
    <t>Timeframe</t>
  </si>
  <si>
    <t>Year 1 Budget incl. VAT</t>
  </si>
  <si>
    <t>TOTAL</t>
  </si>
  <si>
    <t>No.</t>
  </si>
  <si>
    <t>Details</t>
  </si>
  <si>
    <t>Start (Month)</t>
  </si>
  <si>
    <t>End (Month)</t>
  </si>
  <si>
    <t>Duration</t>
  </si>
  <si>
    <t xml:space="preserve">Quarter 1 </t>
  </si>
  <si>
    <t>Quarter 2</t>
  </si>
  <si>
    <t>Quarter 3</t>
  </si>
  <si>
    <t>Quarter 4</t>
  </si>
  <si>
    <t xml:space="preserve">1. Initiation </t>
  </si>
  <si>
    <t xml:space="preserve">1.1. Project Legal &amp; Administration </t>
  </si>
  <si>
    <t xml:space="preserve">To ensure project management and legal &amp; administration requirements are in place for the successful implementation of the project  </t>
  </si>
  <si>
    <t>1.1.1</t>
  </si>
  <si>
    <t xml:space="preserve">Understand project objectives, scope, and deliverables.
</t>
  </si>
  <si>
    <t xml:space="preserve">Completed project proposal
</t>
  </si>
  <si>
    <t xml:space="preserve">PDF </t>
  </si>
  <si>
    <t>Month 1</t>
  </si>
  <si>
    <t>1 Month</t>
  </si>
  <si>
    <t>1.1.2</t>
  </si>
  <si>
    <t>Ensure all project related contracts are in place for the project</t>
  </si>
  <si>
    <t>Signed Contracts</t>
  </si>
  <si>
    <t>Sub-Total 1</t>
  </si>
  <si>
    <t xml:space="preserve">2. Planning </t>
  </si>
  <si>
    <t>2.1 Project Planning</t>
  </si>
  <si>
    <t>Establish a clear, legally binding framework for the project, ensuring collaboration and understanding between all parties.</t>
  </si>
  <si>
    <t>2.2.1</t>
  </si>
  <si>
    <t>Develop Project Execution Plan in consultation with TIA Specialits</t>
  </si>
  <si>
    <t>Project Execution Document</t>
  </si>
  <si>
    <t>PDF</t>
  </si>
  <si>
    <t>2.2.2</t>
  </si>
  <si>
    <t>Host Project kick off meeting  to ensure all relevant  stakholders understand how the project will be implemented</t>
  </si>
  <si>
    <t xml:space="preserve">2.2. Business Sustainability Model </t>
  </si>
  <si>
    <t xml:space="preserve">To build a business sustainability model that aims to reduce dependence on government support for the technology in the future. </t>
  </si>
  <si>
    <t>2.2.3</t>
  </si>
  <si>
    <t>Develop a stakholder map to identifiy funding sources and potential partners for Umhlatuze</t>
  </si>
  <si>
    <t xml:space="preserve">Stakeholder map including funding sources </t>
  </si>
  <si>
    <t>Month 2</t>
  </si>
  <si>
    <t>12 Months</t>
  </si>
  <si>
    <t>2.2.4</t>
  </si>
  <si>
    <t>Develop a business sustainability model for Sisanda App Universe</t>
  </si>
  <si>
    <t xml:space="preserve">Business sustainability model </t>
  </si>
  <si>
    <t>Month 3</t>
  </si>
  <si>
    <t>Month 9</t>
  </si>
  <si>
    <t>2.2.5</t>
  </si>
  <si>
    <t>Source funding proposals to support the sustainability of Sisanda App Universe beyond the duration of this project at Umhlathuze</t>
  </si>
  <si>
    <t>3 Funding Proposals</t>
  </si>
  <si>
    <t xml:space="preserve">Month 9 </t>
  </si>
  <si>
    <t>Month 12</t>
  </si>
  <si>
    <t>Sub-Total 2</t>
  </si>
  <si>
    <t>3. Execution (Deployment)</t>
  </si>
  <si>
    <t xml:space="preserve">3.1. Deployment Readiness </t>
  </si>
  <si>
    <t>To prepare for deployment of the Sisanda App at all selcted schools</t>
  </si>
  <si>
    <t>3.1.1</t>
  </si>
  <si>
    <t>Identify and finalize product sites</t>
  </si>
  <si>
    <t>Finalized list of sites signed off by City of uMhlathuze</t>
  </si>
  <si>
    <t>1 Week</t>
  </si>
  <si>
    <t>3.1.2</t>
  </si>
  <si>
    <t xml:space="preserve">Address any potential gaps that might impact project implementation. </t>
  </si>
  <si>
    <t>Updated Risk Register</t>
  </si>
  <si>
    <t>Excel Sheet</t>
  </si>
  <si>
    <t>2 Week</t>
  </si>
  <si>
    <t>3.1.3</t>
  </si>
  <si>
    <t xml:space="preserve">Procure and deliver of 165 tablets  to  the selected schools
</t>
  </si>
  <si>
    <t>Invoice and Delivery Notes.</t>
  </si>
  <si>
    <t>3.1.4</t>
  </si>
  <si>
    <t>Purchase  school Licences</t>
  </si>
  <si>
    <t xml:space="preserve">Proof of payment of licenses </t>
  </si>
  <si>
    <t>.xsl</t>
  </si>
  <si>
    <t>3.1.5</t>
  </si>
  <si>
    <t>Install the app on tablets for all participating schools.</t>
  </si>
  <si>
    <t xml:space="preserve">Successful installation test report for all devices 
</t>
  </si>
  <si>
    <t>.apk</t>
  </si>
  <si>
    <t>3.1.6</t>
  </si>
  <si>
    <t xml:space="preserve">Conduct quality assurance checks to ensure optimal app performance of the app on all devices </t>
  </si>
  <si>
    <t xml:space="preserve">Quality Assurance  Report </t>
  </si>
  <si>
    <t xml:space="preserve">3..2 Training </t>
  </si>
  <si>
    <t>To Equip teachers and IT staff with the skills to use the app effectively.</t>
  </si>
  <si>
    <t>3.2..1</t>
  </si>
  <si>
    <t>Schdeule training sessions for teachers and IT staff.</t>
  </si>
  <si>
    <t>Scanned Attendance Register and Training Report</t>
  </si>
  <si>
    <t>3.2..2</t>
  </si>
  <si>
    <t>Conduct hands-on demonstration sessions.</t>
  </si>
  <si>
    <t>Website Page</t>
  </si>
  <si>
    <t>3.2..3</t>
  </si>
  <si>
    <t>Update and distribute user manuals and FAQs.</t>
  </si>
  <si>
    <t>Proof of updated manuals and distribution lsists</t>
  </si>
  <si>
    <t>Printed Manuals</t>
  </si>
  <si>
    <t xml:space="preserve">3.3 Deployment
</t>
  </si>
  <si>
    <t>To successfully roll out the app across the selected designated schools.</t>
  </si>
  <si>
    <t>3.3.1</t>
  </si>
  <si>
    <t>Distribute tablets to the schools.</t>
  </si>
  <si>
    <t>Signed delivery notes</t>
  </si>
  <si>
    <t>8 Month</t>
  </si>
  <si>
    <t>3.3.2</t>
  </si>
  <si>
    <t>Provide delivery notes for teachers or school management to sign, confirming delivery.</t>
  </si>
  <si>
    <t>3.3.3</t>
  </si>
  <si>
    <t>Provide on-site support during the initial days of implementation.</t>
  </si>
  <si>
    <t>Sub-Total 3</t>
  </si>
  <si>
    <t>4. Support, Monitoring and Evaluation</t>
  </si>
  <si>
    <t>4.1.Monitoring and Support</t>
  </si>
  <si>
    <t>To ensure smooth app operation and address any arising issues.</t>
  </si>
  <si>
    <t>4.1.1</t>
  </si>
  <si>
    <t xml:space="preserve">Establish a helpline or support portal for schools to report issues or seek assistance.
</t>
  </si>
  <si>
    <t xml:space="preserve">Support portal
</t>
  </si>
  <si>
    <t>Online Portal</t>
  </si>
  <si>
    <t>9 Month</t>
  </si>
  <si>
    <t>4.1.2</t>
  </si>
  <si>
    <t xml:space="preserve">Monitor app usage, performance, and gather user feedback.
</t>
  </si>
  <si>
    <t>Monthly monitoring reports</t>
  </si>
  <si>
    <t>4.1.3</t>
  </si>
  <si>
    <t>Provide any and all required updates to the Sisanda App.</t>
  </si>
  <si>
    <t>Update Reports</t>
  </si>
  <si>
    <t>APK</t>
  </si>
  <si>
    <t>4.2. Feedback Collection</t>
  </si>
  <si>
    <t>To assess user experience and identify areas for improvement.</t>
  </si>
  <si>
    <t xml:space="preserve">4.2.1 </t>
  </si>
  <si>
    <t xml:space="preserve">Conduct surveys or focus group discussions with teachers and students.
</t>
  </si>
  <si>
    <t xml:space="preserve">Feedback reports from users </t>
  </si>
  <si>
    <t>4.2.2</t>
  </si>
  <si>
    <t xml:space="preserve">Analyze feedback to discern trends, challenges, or suggestions.
</t>
  </si>
  <si>
    <t>4.2.3</t>
  </si>
  <si>
    <t>Plan enhancements based on the feedback received.</t>
  </si>
  <si>
    <t>Update Product roadmap</t>
  </si>
  <si>
    <t xml:space="preserve">Trello </t>
  </si>
  <si>
    <t>4.3.Continuous Improvement</t>
  </si>
  <si>
    <t>To ensure the app's continued relevance and efficacy.</t>
  </si>
  <si>
    <t>4.3.1</t>
  </si>
  <si>
    <t>Release updates or patches based on feedback and technological advancements.</t>
  </si>
  <si>
    <t xml:space="preserve">Updated app versions
</t>
  </si>
  <si>
    <t>4.3.2</t>
  </si>
  <si>
    <t xml:space="preserve">Schedule  refresher training sessions on any new features added to the app
 </t>
  </si>
  <si>
    <t xml:space="preserve">Training sessions for new features </t>
  </si>
  <si>
    <t>PDF and Support page</t>
  </si>
  <si>
    <t>4.3.3</t>
  </si>
  <si>
    <t xml:space="preserve">Engage with schools for sustained collaboration and improvement. </t>
  </si>
  <si>
    <t>Feedback reports</t>
  </si>
  <si>
    <t>Sub-Total 4</t>
  </si>
  <si>
    <t xml:space="preserve">5. Closure </t>
  </si>
  <si>
    <t>5.1.Project Review and Reporting</t>
  </si>
  <si>
    <t xml:space="preserve">Conclude the implementation phase and transition to regular operations.
</t>
  </si>
  <si>
    <t>5.1.1</t>
  </si>
  <si>
    <t xml:space="preserve">Document the implementation process, challenges encountered, and lessons learned.
</t>
  </si>
  <si>
    <t>Final project  close out eport</t>
  </si>
  <si>
    <t>Month 10</t>
  </si>
  <si>
    <t>2 Month</t>
  </si>
  <si>
    <t>Sub-Total 5</t>
  </si>
  <si>
    <t xml:space="preserve">Grand Total (Sub-Total 1 +2+3+4+5) </t>
  </si>
  <si>
    <t xml:space="preserve">Disbursement Schedule </t>
  </si>
  <si>
    <t>Disbursement 1 (30%)</t>
  </si>
  <si>
    <t>Disbursement 2 (50%)</t>
  </si>
  <si>
    <t>Disbursement 3 (20%)</t>
  </si>
  <si>
    <t>Sisanda.com</t>
  </si>
  <si>
    <t>INVOICES</t>
  </si>
  <si>
    <t>LABOUR</t>
  </si>
  <si>
    <t>OPERATIONAL COST:</t>
  </si>
  <si>
    <t>CAPITAL EQUIPMENT</t>
  </si>
  <si>
    <t>nr</t>
  </si>
  <si>
    <t>Date</t>
  </si>
  <si>
    <t>Name of Company</t>
  </si>
  <si>
    <t xml:space="preserve">Description </t>
  </si>
  <si>
    <t xml:space="preserve">Invoice </t>
  </si>
  <si>
    <t>Link for invoice</t>
  </si>
  <si>
    <t>Link for POP</t>
  </si>
  <si>
    <t>Personnel</t>
  </si>
  <si>
    <t>Overheads/Admin/ Bank Charge</t>
  </si>
  <si>
    <t>Office material and Rent</t>
  </si>
  <si>
    <t>Procure and deliver of 165 tablets  to  the selected schools</t>
  </si>
  <si>
    <t xml:space="preserve">DETAILED  EXPENSE REPORT - QUARTERLY </t>
  </si>
  <si>
    <t>Name of Institution:</t>
  </si>
  <si>
    <t>Current Reporting Period:</t>
  </si>
  <si>
    <t>Jan - March 2024</t>
  </si>
  <si>
    <t xml:space="preserve">Agreement Period: </t>
  </si>
  <si>
    <t>Agreement No:</t>
  </si>
  <si>
    <t>Invoice Number:</t>
  </si>
  <si>
    <r>
      <t xml:space="preserve">(Information in the budget section must be aligned with agreed budget according to the project plan and contract. Please ensure the budget is sufficiently </t>
    </r>
    <r>
      <rPr>
        <i/>
        <u/>
        <color theme="1"/>
        <family val="2"/>
        <sz val="11"/>
        <rFont val="Arial Narrow"/>
      </rPr>
      <t>detailed</t>
    </r>
    <r>
      <rPr>
        <i/>
        <color theme="1"/>
        <family val="2"/>
        <sz val="11"/>
        <rFont val="Arial Narrow"/>
      </rPr>
      <t xml:space="preserve"> and add notes to explain all significant variations from budget.</t>
    </r>
  </si>
  <si>
    <t>Budget for Quarter</t>
  </si>
  <si>
    <t>Actual for Quarter</t>
  </si>
  <si>
    <t>Variance</t>
  </si>
  <si>
    <t>% Variance</t>
  </si>
  <si>
    <t>Reasons for variances</t>
  </si>
  <si>
    <t>Comments</t>
  </si>
  <si>
    <t>INCOME</t>
  </si>
  <si>
    <t>(For all income= Actual for the quarter less budget for the quarter)</t>
  </si>
  <si>
    <t>(% variance= variance/actual for the quarter)</t>
  </si>
  <si>
    <t>(All reasons for variances can be detailed on the page below; you can also include any further notes)</t>
  </si>
  <si>
    <t>For any expenditure over R100k, please provide details in the form of notes linked to the project activity</t>
  </si>
  <si>
    <r>
      <t xml:space="preserve">Balance brought forward from previous quarter
</t>
    </r>
    <r>
      <rPr>
        <i/>
        <color theme="1"/>
        <family val="2"/>
        <sz val="11"/>
        <rFont val="Arial Narrow"/>
      </rPr>
      <t>(this should be the surplus/ (deficit) from previous quarter)</t>
    </r>
  </si>
  <si>
    <t>TIA Funding received/budgeted in the quarter</t>
  </si>
  <si>
    <t>Budget is more than the funds tranfered by TIA</t>
  </si>
  <si>
    <t>https://drive.google.com/file/d/1qVQtyr7AXdiVotWmxgNo4LdfyX6nrc14/view?usp=sharing</t>
  </si>
  <si>
    <t>Other Income:</t>
  </si>
  <si>
    <t>Interest</t>
  </si>
  <si>
    <t>VAT refund</t>
  </si>
  <si>
    <t>etc.</t>
  </si>
  <si>
    <t>GRAND TOTAL INCOME</t>
  </si>
  <si>
    <r>
      <t xml:space="preserve">EXPENSES </t>
    </r>
    <r>
      <rPr>
        <b/>
        <i/>
        <color theme="0"/>
        <family val="2"/>
        <sz val="11"/>
        <rFont val="Arial Narrow"/>
      </rPr>
      <t>(allocated to TIA funding)</t>
    </r>
  </si>
  <si>
    <t>(% variance= variance/budget for the quarter)</t>
  </si>
  <si>
    <t>(For all expenses= Budget for the quarter less actual for the quarter)</t>
  </si>
  <si>
    <t>PERSONNEL COSTS:</t>
  </si>
  <si>
    <t>CAPITAL EQUIPMENT:</t>
  </si>
  <si>
    <t>CONSUMABLES:</t>
  </si>
  <si>
    <t>GRAND TOTAL EXPENDITURE: :</t>
  </si>
  <si>
    <t>SURPLUS/(DEFICIT)</t>
  </si>
  <si>
    <r>
      <rPr>
        <b/>
        <color theme="1"/>
        <family val="2"/>
        <sz val="10"/>
        <rFont val="Arial"/>
      </rPr>
      <t>(</t>
    </r>
    <r>
      <rPr>
        <i/>
        <color theme="1"/>
        <family val="2"/>
        <sz val="10"/>
        <rFont val="Arial"/>
      </rPr>
      <t>Grand Total Income less Grand Total Expenditure)</t>
    </r>
  </si>
  <si>
    <r>
      <rPr>
        <b/>
        <color theme="1"/>
        <family val="2"/>
        <sz val="10"/>
        <rFont val="Arial"/>
      </rPr>
      <t>Declaration</t>
    </r>
    <r>
      <rPr>
        <color theme="1"/>
        <family val="2"/>
        <sz val="10"/>
        <rFont val="Arial"/>
      </rPr>
      <t>:</t>
    </r>
    <r>
      <rPr>
        <b/>
        <color theme="1"/>
        <family val="2"/>
        <sz val="10"/>
        <rFont val="Arial"/>
      </rPr>
      <t xml:space="preserve">  </t>
    </r>
    <r>
      <rPr>
        <color theme="1"/>
        <family val="2"/>
        <sz val="10"/>
        <rFont val="Arial"/>
      </rPr>
      <t>I hereby declare that the information supplied is a true reflection of the financial records of Project (Insert Project name and number)</t>
    </r>
  </si>
  <si>
    <t xml:space="preserve">Financial information prepared by: Yasmin                         </t>
  </si>
  <si>
    <t xml:space="preserve">Signature: </t>
  </si>
  <si>
    <t>Date:  13 June 2024</t>
  </si>
  <si>
    <t>Financial Information Approved By: Nondumiso</t>
  </si>
  <si>
    <t xml:space="preserve">Signature:  </t>
  </si>
  <si>
    <t>Quarter Projection</t>
  </si>
  <si>
    <t>ABC Academy</t>
  </si>
  <si>
    <t>Q1</t>
  </si>
  <si>
    <t xml:space="preserve">Projection Period: </t>
  </si>
  <si>
    <t>Q2</t>
  </si>
  <si>
    <t>Total Budget</t>
  </si>
  <si>
    <t>PROJECTED EXPENDITURE</t>
  </si>
  <si>
    <r>
      <rPr>
        <b/>
        <i/>
        <color theme="0"/>
        <family val="2"/>
        <sz val="11"/>
        <rFont val="Arial Narrow"/>
      </rPr>
      <t>Activity Details</t>
    </r>
    <r>
      <rPr>
        <i/>
        <color theme="0"/>
        <family val="2"/>
        <sz val="11"/>
        <rFont val="Arial Narrow"/>
      </rPr>
      <t xml:space="preserve">
( Include details of activitives linked to the budget line item in the approved project plan) </t>
    </r>
  </si>
  <si>
    <t>Procure and deliver of 165 tablets to the selected schools</t>
  </si>
  <si>
    <t>This amount is carried over from the remaining funds in Q1</t>
  </si>
  <si>
    <t>Purchase school Licences</t>
  </si>
  <si>
    <t>This amount is carried over from the remaining funds in Q2</t>
  </si>
  <si>
    <t>Sub-contracting/ consultants</t>
  </si>
  <si>
    <t>GRAND TOTAL PROJECTION: :</t>
  </si>
  <si>
    <t>SURPLUS / DEFICIT</t>
  </si>
  <si>
    <t>(Provide notes for anticipated surplus or deficit)</t>
  </si>
  <si>
    <r>
      <t>Declaration</t>
    </r>
    <r>
      <rPr>
        <color theme="1"/>
        <family val="2"/>
        <sz val="11"/>
        <rFont val="Arial Narrow"/>
      </rPr>
      <t>:</t>
    </r>
    <r>
      <rPr>
        <b/>
        <color theme="1"/>
        <family val="2"/>
        <sz val="11"/>
        <rFont val="Arial Narrow"/>
      </rPr>
      <t xml:space="preserve">  </t>
    </r>
    <r>
      <rPr>
        <color theme="1"/>
        <family val="2"/>
        <sz val="11"/>
        <rFont val="Arial Narrow"/>
      </rPr>
      <t>I hereby declare that the information supplied is a true reflection of the financial records of Project (Insert Project name and number)</t>
    </r>
  </si>
  <si>
    <t xml:space="preserve">Financial information prepared by: Yasmin                       </t>
  </si>
  <si>
    <t>Financial Information Approved By:  Nondumiso</t>
  </si>
  <si>
    <t xml:space="preserve">BANK AND CASH RECONCILIATION </t>
  </si>
  <si>
    <t>Name of Institution: ABC Academy</t>
  </si>
  <si>
    <t>Current Reporting Period:  Jan - March 2024</t>
  </si>
  <si>
    <t>Agreement Period: Q1</t>
  </si>
  <si>
    <t>R</t>
  </si>
  <si>
    <t xml:space="preserve">Amount Transferred from TIA </t>
  </si>
  <si>
    <t xml:space="preserve">Less Actual Expenses </t>
  </si>
  <si>
    <t xml:space="preserve">Surplus (deficit) </t>
  </si>
  <si>
    <t>(from above)</t>
  </si>
  <si>
    <t>Reconciling items:</t>
  </si>
  <si>
    <t>Bank and cash balance</t>
  </si>
  <si>
    <t>(as in bank statement balances for all bank accounts held, physical cash holdings, or as in university or council cost centre statement, where applicable)</t>
  </si>
  <si>
    <t>Project Budget to date</t>
  </si>
  <si>
    <t>Project Actual to date</t>
  </si>
  <si>
    <t>(For all income= Actual year to date less budget year to date)</t>
  </si>
  <si>
    <t>(% variance= variance/actual year to date)</t>
  </si>
  <si>
    <t>TIA Funding</t>
  </si>
  <si>
    <t>Co- funding received :</t>
  </si>
  <si>
    <t>Consortium Partner A</t>
  </si>
  <si>
    <t>Consortium Partner B</t>
  </si>
  <si>
    <t>Consortium Partner C</t>
  </si>
  <si>
    <t>Consortium Partner D</t>
  </si>
  <si>
    <t>Other income:</t>
  </si>
  <si>
    <t>Grand Total Income</t>
  </si>
  <si>
    <r>
      <t xml:space="preserve">EXPENSES </t>
    </r>
    <r>
      <rPr>
        <b/>
        <i/>
        <color rgb="FF7F7F7F"/>
        <family val="2"/>
        <sz val="11"/>
        <rFont val="Arial Narrow"/>
      </rPr>
      <t>(allocated to TIA funding)</t>
    </r>
  </si>
  <si>
    <t>(For all expenses= Budget year to date less actual year to date)</t>
  </si>
  <si>
    <t>(% variance= variance/budget year to date)</t>
  </si>
  <si>
    <t>Personnel costs:</t>
  </si>
  <si>
    <t>(Project related human resources salaries, bonuses etc.)</t>
  </si>
  <si>
    <t>Operational costs:</t>
  </si>
  <si>
    <t xml:space="preserve"> (E.g. equipment maintenance, travel etc.)</t>
  </si>
  <si>
    <t>Capital equipment:</t>
  </si>
  <si>
    <t>(put detailed capital items purchased individually or in groups as applicable)</t>
  </si>
  <si>
    <t>(all consultants used should be disclosed individually)</t>
  </si>
  <si>
    <t>Consumables:</t>
  </si>
  <si>
    <t>Contingency:</t>
  </si>
  <si>
    <t>Total expenses allocated to TIA funding:</t>
  </si>
  <si>
    <t>Co- funding total expenses:</t>
  </si>
  <si>
    <t>(Insert totals of project expenses by each consortium partner; supporting documents for these totals must be readily available for TIA when requested.)</t>
  </si>
  <si>
    <t>Grand Total Expenditure:</t>
  </si>
  <si>
    <r>
      <t>(</t>
    </r>
    <r>
      <rPr>
        <i/>
        <color theme="1"/>
        <family val="2"/>
        <sz val="11"/>
        <rFont val="Arial Narrow"/>
      </rPr>
      <t>Grand Total Income less Grand Total Expenditure)</t>
    </r>
  </si>
  <si>
    <t>(This amount above should be the same as the surplus / (deficit) for the current quarter)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</si>
</sst>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 &quot;[$R-1C09]* #,##0.00&quot; &quot;;&quot;-&quot;[$R-1C09]* #,##0.00&quot; &quot;;&quot; &quot;[$R-1C09]* &quot;-&quot;??&quot; &quot;"/>
    <numFmt numFmtId="165" formatCode="_-[$R-1C09]* #,##0.00_-;-[$R-1C09]* #,##0.00_-;_-[$R-1C09]* &quot;-&quot;??_-;_-@"/>
    <numFmt numFmtId="166" formatCode="&quot;R&quot;#,##0.00"/>
    <numFmt numFmtId="167" formatCode="&quot; &quot;* #,##0.00&quot; &quot;;&quot;-&quot;* #,##0.00&quot; &quot;;&quot; &quot;* &quot;-&quot;??&quot; &quot;"/>
  </numFmts>
  <fonts count="27" x14ac:knownFonts="1">
    <font>
      <color theme="1"/>
      <family val="2"/>
      <scheme val="minor"/>
      <sz val="11"/>
      <name val="Calibri"/>
    </font>
    <font>
      <color rgb="FF000000"/>
      <family val="2"/>
      <sz val="11"/>
      <name val="Arial Narrow"/>
    </font>
    <font>
      <b/>
      <color rgb="FFFFFFFF"/>
      <family val="2"/>
      <sz val="11"/>
      <name val="Arial Narrow"/>
    </font>
    <font>
      <b/>
      <color rgb="FF000000"/>
      <family val="2"/>
      <sz val="11"/>
      <name val="Arial Narrow"/>
    </font>
    <font>
      <family val="2"/>
      <sz val="11"/>
      <name val="Calibri"/>
    </font>
    <font>
      <b/>
      <color theme="1"/>
      <family val="2"/>
      <sz val="11"/>
      <name val="Arial Narrow"/>
    </font>
    <font>
      <color theme="1"/>
      <family val="2"/>
      <sz val="11"/>
      <name val="Arial Narrow"/>
    </font>
    <font>
      <color theme="1"/>
      <scheme val="minor"/>
      <sz val="11"/>
      <name val="Calibri"/>
    </font>
    <font>
      <b/>
      <u/>
      <color rgb="FF0000FF"/>
      <family val="2"/>
      <sz val="11"/>
      <name val="Arial Narrow"/>
    </font>
    <font>
      <color theme="0"/>
      <family val="2"/>
      <sz val="11"/>
      <name val="Arial Narrow"/>
    </font>
    <font>
      <b/>
      <color theme="0"/>
      <family val="2"/>
      <sz val="11"/>
      <name val="Arial Narrow"/>
    </font>
    <font>
      <family val="2"/>
      <sz val="11"/>
      <name val="Arial Narrow"/>
    </font>
    <font>
      <u/>
      <color theme="10"/>
      <family val="2"/>
      <sz val="11"/>
      <name val="Arial Narrow"/>
    </font>
    <font>
      <u/>
      <color theme="10"/>
      <family val="2"/>
      <scheme val="minor"/>
      <sz val="11"/>
      <name val="Calibri"/>
    </font>
    <font>
      <u/>
      <family val="2"/>
      <sz val="11"/>
      <name val="Arial Narrow"/>
    </font>
    <font>
      <u/>
      <color theme="1"/>
      <family val="2"/>
      <sz val="11"/>
      <name val="Arial Narrow"/>
    </font>
    <font>
      <color theme="1"/>
      <family val="2"/>
      <sz val="11"/>
      <name val="Arial"/>
    </font>
    <font>
      <i/>
      <color theme="1"/>
      <family val="2"/>
      <sz val="11"/>
      <name val="Arial Narrow"/>
    </font>
    <font>
      <color theme="1"/>
      <family val="2"/>
      <sz val="10"/>
      <name val="Arial"/>
    </font>
    <font>
      <b/>
      <i/>
      <color theme="0"/>
      <family val="2"/>
      <sz val="11"/>
      <name val="Arial Narrow"/>
    </font>
    <font>
      <i/>
      <color theme="0"/>
      <family val="2"/>
      <sz val="11"/>
      <name val="Arial Narrow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  <font>
      <b/>
      <i/>
      <color theme="1"/>
      <family val="2"/>
      <sz val="11"/>
      <name val="Arial Narrow"/>
    </font>
    <font>
      <b/>
      <color theme="1"/>
      <family val="2"/>
      <sz val="14"/>
      <name val="Arial"/>
    </font>
    <font>
      <color theme="1"/>
      <family val="2"/>
      <sz val="11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D4D6A"/>
        <bgColor rgb="FF2D4D6A"/>
      </patternFill>
    </fill>
    <fill>
      <patternFill patternType="solid">
        <fgColor rgb="FFD8D8D8"/>
        <bgColor rgb="FFD8D8D8"/>
      </patternFill>
    </fill>
    <fill>
      <patternFill patternType="solid">
        <fgColor rgb="FFFBE4D5"/>
        <bgColor rgb="FFFBE4D5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D6E3BC"/>
        <bgColor rgb="FFD6E3BC"/>
      </patternFill>
    </fill>
    <fill>
      <patternFill patternType="solid">
        <fgColor theme="5" tint="0.5999938962981048"/>
        <bgColor rgb="FFD6E3BC"/>
      </patternFill>
    </fill>
    <fill>
      <patternFill patternType="solid">
        <fgColor rgb="FF969696"/>
        <bgColor rgb="FF969696"/>
      </patternFill>
    </fill>
    <fill>
      <patternFill patternType="solid">
        <fgColor rgb="FFD9D9D9"/>
        <bgColor rgb="FFD9D9D9"/>
      </patternFill>
    </fill>
    <fill>
      <patternFill patternType="solid">
        <fgColor rgb="FF244061"/>
        <bgColor rgb="FF244061"/>
      </patternFill>
    </fill>
    <fill>
      <patternFill patternType="solid">
        <fgColor theme="4" tint="-0.499984740745262"/>
        <bgColor rgb="FFD9D9D9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rgb="FF8DB3E2"/>
      </patternFill>
    </fill>
    <fill>
      <patternFill patternType="solid">
        <fgColor rgb="FFFF0000"/>
        <bgColor rgb="FFD9D9D9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D9D9D9"/>
      </patternFill>
    </fill>
    <fill>
      <patternFill patternType="solid">
        <fgColor rgb="FFFF0000"/>
        <bgColor rgb="FFFF0000"/>
      </patternFill>
    </fill>
  </fills>
  <borders count="71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 style="thin">
        <color rgb="FF000000"/>
      </top>
      <bottom style="double">
        <color rgb="FF000000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 vertical="top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0" fontId="4" fillId="0" borderId="7" xfId="0" applyFont="1" applyBorder="1"/>
    <xf numFmtId="49" fontId="3" fillId="2" borderId="4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top" wrapText="1"/>
    </xf>
    <xf numFmtId="0" fontId="4" fillId="0" borderId="9" xfId="0" applyFont="1" applyBorder="1"/>
    <xf numFmtId="49" fontId="3" fillId="5" borderId="6" xfId="0" applyNumberFormat="1" applyFont="1" applyFill="1" applyBorder="1" applyAlignment="1">
      <alignment horizontal="center" vertical="top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49" fontId="3" fillId="2" borderId="13" xfId="0" applyNumberFormat="1" applyFont="1" applyFill="1" applyBorder="1" applyAlignment="1">
      <alignment horizontal="center" vertical="top"/>
    </xf>
    <xf numFmtId="49" fontId="3" fillId="2" borderId="14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 wrapText="1"/>
    </xf>
    <xf numFmtId="49" fontId="3" fillId="4" borderId="15" xfId="0" applyNumberFormat="1" applyFont="1" applyFill="1" applyBorder="1" applyAlignment="1">
      <alignment horizontal="center" vertical="center" wrapText="1"/>
    </xf>
    <xf numFmtId="49" fontId="3" fillId="5" borderId="13" xfId="0" applyNumberFormat="1" applyFont="1" applyFill="1" applyBorder="1" applyAlignment="1">
      <alignment horizontal="center" vertical="top" wrapText="1"/>
    </xf>
    <xf numFmtId="49" fontId="3" fillId="5" borderId="14" xfId="0" applyNumberFormat="1" applyFont="1" applyFill="1" applyBorder="1" applyAlignment="1">
      <alignment horizontal="center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vertical="top" wrapText="1"/>
    </xf>
    <xf numFmtId="49" fontId="1" fillId="2" borderId="16" xfId="0" applyNumberFormat="1" applyFont="1" applyFill="1" applyBorder="1" applyAlignment="1">
      <alignment vertical="top" wrapText="1"/>
    </xf>
    <xf numFmtId="49" fontId="1" fillId="2" borderId="16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49" fontId="1" fillId="2" borderId="17" xfId="0" applyNumberFormat="1" applyFont="1" applyFill="1" applyBorder="1" applyAlignment="1">
      <alignment horizontal="center" vertical="top" wrapText="1"/>
    </xf>
    <xf numFmtId="164" fontId="1" fillId="5" borderId="3" xfId="0" applyNumberFormat="1" applyFont="1" applyFill="1" applyBorder="1" applyAlignment="1">
      <alignment vertical="top" wrapText="1"/>
    </xf>
    <xf numFmtId="164" fontId="1" fillId="5" borderId="4" xfId="0" applyNumberFormat="1" applyFont="1" applyFill="1" applyBorder="1" applyAlignment="1">
      <alignment horizontal="right" vertical="top" wrapText="1"/>
    </xf>
    <xf numFmtId="164" fontId="5" fillId="2" borderId="5" xfId="0" applyNumberFormat="1" applyFont="1" applyFill="1" applyBorder="1" applyAlignment="1">
      <alignment vertical="top" wrapText="1"/>
    </xf>
    <xf numFmtId="0" fontId="4" fillId="0" borderId="18" xfId="0" applyFont="1" applyBorder="1"/>
    <xf numFmtId="0" fontId="4" fillId="0" borderId="19" xfId="0" applyFont="1" applyBorder="1"/>
    <xf numFmtId="49" fontId="1" fillId="2" borderId="20" xfId="0" applyNumberFormat="1" applyFont="1" applyFill="1" applyBorder="1" applyAlignment="1">
      <alignment vertical="top" wrapText="1"/>
    </xf>
    <xf numFmtId="49" fontId="1" fillId="2" borderId="21" xfId="0" applyNumberFormat="1" applyFont="1" applyFill="1" applyBorder="1" applyAlignment="1">
      <alignment vertical="top" wrapText="1"/>
    </xf>
    <xf numFmtId="49" fontId="1" fillId="2" borderId="21" xfId="0" applyNumberFormat="1" applyFont="1" applyFill="1" applyBorder="1" applyAlignment="1">
      <alignment horizontal="left" vertical="top" wrapText="1"/>
    </xf>
    <xf numFmtId="0" fontId="4" fillId="0" borderId="22" xfId="0" applyFont="1" applyBorder="1"/>
    <xf numFmtId="0" fontId="4" fillId="0" borderId="23" xfId="0" applyFont="1" applyBorder="1"/>
    <xf numFmtId="49" fontId="3" fillId="0" borderId="24" xfId="0" applyNumberFormat="1" applyFont="1" applyBorder="1" applyAlignment="1">
      <alignment horizontal="right" vertical="top" wrapText="1"/>
    </xf>
    <xf numFmtId="0" fontId="4" fillId="0" borderId="25" xfId="0" applyFont="1" applyBorder="1"/>
    <xf numFmtId="164" fontId="3" fillId="0" borderId="3" xfId="0" applyNumberFormat="1" applyFont="1" applyBorder="1" applyAlignment="1">
      <alignment vertical="top" wrapText="1"/>
    </xf>
    <xf numFmtId="164" fontId="3" fillId="0" borderId="4" xfId="0" applyNumberFormat="1" applyFont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49" fontId="6" fillId="0" borderId="4" xfId="0" applyNumberFormat="1" applyFont="1" applyBorder="1" applyAlignment="1">
      <alignment horizontal="center" vertical="top"/>
    </xf>
    <xf numFmtId="49" fontId="6" fillId="0" borderId="17" xfId="0" applyNumberFormat="1" applyFont="1" applyBorder="1" applyAlignment="1">
      <alignment horizontal="center" vertical="top"/>
    </xf>
    <xf numFmtId="0" fontId="4" fillId="0" borderId="26" xfId="0" applyFont="1" applyBorder="1"/>
    <xf numFmtId="49" fontId="1" fillId="2" borderId="27" xfId="0" applyNumberFormat="1" applyFont="1" applyFill="1" applyBorder="1" applyAlignment="1">
      <alignment vertical="top" wrapText="1"/>
    </xf>
    <xf numFmtId="49" fontId="1" fillId="2" borderId="27" xfId="0" applyNumberFormat="1" applyFont="1" applyFill="1" applyBorder="1" applyAlignment="1">
      <alignment horizontal="left" vertical="top" wrapText="1"/>
    </xf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49" fontId="1" fillId="2" borderId="14" xfId="0" applyNumberFormat="1" applyFont="1" applyFill="1" applyBorder="1" applyAlignment="1">
      <alignment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27" xfId="0" applyFont="1" applyBorder="1"/>
    <xf numFmtId="0" fontId="6" fillId="0" borderId="27" xfId="0" applyFont="1" applyBorder="1" applyAlignment="1">
      <alignment horizontal="center" vertical="top"/>
    </xf>
    <xf numFmtId="0" fontId="6" fillId="0" borderId="15" xfId="0" applyFont="1" applyBorder="1" applyAlignment="1">
      <alignment horizontal="center" vertical="center"/>
    </xf>
    <xf numFmtId="164" fontId="1" fillId="5" borderId="13" xfId="0" applyNumberFormat="1" applyFont="1" applyFill="1" applyBorder="1" applyAlignment="1">
      <alignment horizontal="center" vertical="top" wrapText="1"/>
    </xf>
    <xf numFmtId="164" fontId="1" fillId="5" borderId="14" xfId="0" applyNumberFormat="1" applyFont="1" applyFill="1" applyBorder="1" applyAlignment="1">
      <alignment horizontal="center" vertical="top" wrapText="1"/>
    </xf>
    <xf numFmtId="164" fontId="5" fillId="2" borderId="31" xfId="0" applyNumberFormat="1" applyFont="1" applyFill="1" applyBorder="1" applyAlignment="1">
      <alignment horizontal="center" vertical="top" wrapText="1"/>
    </xf>
    <xf numFmtId="0" fontId="6" fillId="0" borderId="27" xfId="0" applyFont="1" applyBorder="1" applyAlignment="1">
      <alignment horizontal="left" vertical="top"/>
    </xf>
    <xf numFmtId="0" fontId="4" fillId="0" borderId="32" xfId="0" applyFont="1" applyBorder="1"/>
    <xf numFmtId="0" fontId="6" fillId="0" borderId="21" xfId="0" applyFont="1" applyBorder="1" applyAlignment="1">
      <alignment horizontal="left" vertical="top"/>
    </xf>
    <xf numFmtId="0" fontId="6" fillId="0" borderId="21" xfId="0" applyFont="1" applyBorder="1"/>
    <xf numFmtId="0" fontId="6" fillId="0" borderId="21" xfId="0" applyFont="1" applyBorder="1" applyAlignment="1">
      <alignment horizontal="center" vertical="top"/>
    </xf>
    <xf numFmtId="49" fontId="3" fillId="0" borderId="33" xfId="0" applyNumberFormat="1" applyFont="1" applyBorder="1" applyAlignment="1">
      <alignment horizontal="right" vertical="top" wrapText="1"/>
    </xf>
    <xf numFmtId="0" fontId="4" fillId="0" borderId="34" xfId="0" applyFont="1" applyBorder="1"/>
    <xf numFmtId="0" fontId="4" fillId="0" borderId="35" xfId="0" applyFont="1" applyBorder="1"/>
    <xf numFmtId="164" fontId="3" fillId="0" borderId="18" xfId="0" applyNumberFormat="1" applyFont="1" applyBorder="1" applyAlignment="1">
      <alignment vertical="top" wrapText="1"/>
    </xf>
    <xf numFmtId="164" fontId="3" fillId="0" borderId="19" xfId="0" applyNumberFormat="1" applyFont="1" applyBorder="1" applyAlignment="1">
      <alignment vertical="top" wrapText="1"/>
    </xf>
    <xf numFmtId="164" fontId="5" fillId="2" borderId="23" xfId="0" applyNumberFormat="1" applyFont="1" applyFill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 wrapText="1"/>
    </xf>
    <xf numFmtId="49" fontId="1" fillId="2" borderId="26" xfId="0" applyNumberFormat="1" applyFont="1" applyFill="1" applyBorder="1" applyAlignment="1">
      <alignment vertical="top" wrapText="1"/>
    </xf>
    <xf numFmtId="49" fontId="1" fillId="2" borderId="26" xfId="0" applyNumberFormat="1" applyFont="1" applyFill="1" applyBorder="1" applyAlignment="1">
      <alignment horizontal="left" vertical="top" wrapText="1"/>
    </xf>
    <xf numFmtId="49" fontId="6" fillId="0" borderId="26" xfId="0" applyNumberFormat="1" applyFont="1" applyBorder="1" applyAlignment="1">
      <alignment horizontal="center" vertical="top" wrapText="1"/>
    </xf>
    <xf numFmtId="49" fontId="6" fillId="0" borderId="28" xfId="0" applyNumberFormat="1" applyFont="1" applyBorder="1" applyAlignment="1">
      <alignment horizontal="center" vertical="top" wrapText="1"/>
    </xf>
    <xf numFmtId="164" fontId="1" fillId="5" borderId="29" xfId="0" applyNumberFormat="1" applyFont="1" applyFill="1" applyBorder="1" applyAlignment="1">
      <alignment horizontal="center" vertical="top" wrapText="1"/>
    </xf>
    <xf numFmtId="164" fontId="1" fillId="5" borderId="26" xfId="0" applyNumberFormat="1" applyFont="1" applyFill="1" applyBorder="1" applyAlignment="1">
      <alignment horizontal="center" vertical="top" wrapText="1"/>
    </xf>
    <xf numFmtId="164" fontId="5" fillId="2" borderId="30" xfId="0" applyNumberFormat="1" applyFont="1" applyFill="1" applyBorder="1" applyAlignment="1">
      <alignment horizontal="center" vertical="top" wrapText="1"/>
    </xf>
    <xf numFmtId="49" fontId="6" fillId="0" borderId="27" xfId="0" applyNumberFormat="1" applyFont="1" applyBorder="1" applyAlignment="1">
      <alignment horizontal="center" vertical="top" wrapText="1"/>
    </xf>
    <xf numFmtId="49" fontId="6" fillId="0" borderId="36" xfId="0" applyNumberFormat="1" applyFont="1" applyBorder="1" applyAlignment="1">
      <alignment horizontal="center" vertical="top" wrapText="1"/>
    </xf>
    <xf numFmtId="164" fontId="1" fillId="5" borderId="37" xfId="0" applyNumberFormat="1" applyFont="1" applyFill="1" applyBorder="1" applyAlignment="1">
      <alignment horizontal="center" vertical="top" wrapText="1"/>
    </xf>
    <xf numFmtId="164" fontId="1" fillId="5" borderId="27" xfId="0" applyNumberFormat="1" applyFont="1" applyFill="1" applyBorder="1" applyAlignment="1">
      <alignment horizontal="center" vertical="top" wrapText="1"/>
    </xf>
    <xf numFmtId="164" fontId="5" fillId="2" borderId="38" xfId="0" applyNumberFormat="1" applyFont="1" applyFill="1" applyBorder="1" applyAlignment="1">
      <alignment vertical="top" wrapText="1"/>
    </xf>
    <xf numFmtId="49" fontId="1" fillId="2" borderId="27" xfId="0" applyNumberFormat="1" applyFont="1" applyFill="1" applyBorder="1" applyAlignment="1">
      <alignment vertical="top"/>
    </xf>
    <xf numFmtId="49" fontId="1" fillId="2" borderId="27" xfId="0" applyNumberFormat="1" applyFont="1" applyFill="1" applyBorder="1" applyAlignment="1">
      <alignment horizontal="center" vertical="top"/>
    </xf>
    <xf numFmtId="49" fontId="1" fillId="2" borderId="36" xfId="0" applyNumberFormat="1" applyFont="1" applyFill="1" applyBorder="1" applyAlignment="1">
      <alignment horizontal="center" vertical="top"/>
    </xf>
    <xf numFmtId="164" fontId="1" fillId="5" borderId="37" xfId="0" applyNumberFormat="1" applyFont="1" applyFill="1" applyBorder="1" applyAlignment="1">
      <alignment vertical="top" wrapText="1"/>
    </xf>
    <xf numFmtId="164" fontId="1" fillId="5" borderId="27" xfId="0" applyNumberFormat="1" applyFont="1" applyFill="1" applyBorder="1" applyAlignment="1">
      <alignment vertical="top" wrapText="1"/>
    </xf>
    <xf numFmtId="49" fontId="1" fillId="2" borderId="27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 wrapText="1"/>
    </xf>
    <xf numFmtId="49" fontId="1" fillId="2" borderId="14" xfId="0" applyNumberFormat="1" applyFont="1" applyFill="1" applyBorder="1" applyAlignment="1">
      <alignment horizontal="center" vertical="top"/>
    </xf>
    <xf numFmtId="49" fontId="1" fillId="2" borderId="15" xfId="0" applyNumberFormat="1" applyFont="1" applyFill="1" applyBorder="1" applyAlignment="1">
      <alignment horizontal="center" vertical="top"/>
    </xf>
    <xf numFmtId="164" fontId="1" fillId="5" borderId="13" xfId="0" applyNumberFormat="1" applyFont="1" applyFill="1" applyBorder="1" applyAlignment="1">
      <alignment vertical="top" wrapText="1"/>
    </xf>
    <xf numFmtId="164" fontId="1" fillId="5" borderId="14" xfId="0" applyNumberFormat="1" applyFont="1" applyFill="1" applyBorder="1" applyAlignment="1">
      <alignment vertical="top" wrapText="1"/>
    </xf>
    <xf numFmtId="164" fontId="5" fillId="2" borderId="31" xfId="0" applyNumberFormat="1" applyFont="1" applyFill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49" fontId="1" fillId="2" borderId="14" xfId="0" applyNumberFormat="1" applyFont="1" applyFill="1" applyBorder="1" applyAlignment="1">
      <alignment horizontal="left" vertical="top"/>
    </xf>
    <xf numFmtId="49" fontId="6" fillId="0" borderId="14" xfId="0" applyNumberFormat="1" applyFont="1" applyBorder="1" applyAlignment="1">
      <alignment horizontal="center" vertical="top" wrapText="1"/>
    </xf>
    <xf numFmtId="49" fontId="6" fillId="0" borderId="15" xfId="0" applyNumberFormat="1" applyFont="1" applyBorder="1" applyAlignment="1">
      <alignment horizontal="center" vertical="top" wrapText="1"/>
    </xf>
    <xf numFmtId="49" fontId="3" fillId="0" borderId="39" xfId="0" applyNumberFormat="1" applyFont="1" applyBorder="1" applyAlignment="1">
      <alignment horizontal="right" vertical="top" wrapText="1"/>
    </xf>
    <xf numFmtId="0" fontId="4" fillId="0" borderId="40" xfId="0" applyFont="1" applyBorder="1"/>
    <xf numFmtId="164" fontId="3" fillId="0" borderId="41" xfId="0" applyNumberFormat="1" applyFont="1" applyBorder="1" applyAlignment="1">
      <alignment vertical="top" wrapText="1"/>
    </xf>
    <xf numFmtId="164" fontId="3" fillId="0" borderId="42" xfId="0" applyNumberFormat="1" applyFont="1" applyBorder="1" applyAlignment="1">
      <alignment vertical="top" wrapText="1"/>
    </xf>
    <xf numFmtId="164" fontId="5" fillId="2" borderId="43" xfId="0" applyNumberFormat="1" applyFont="1" applyFill="1" applyBorder="1" applyAlignment="1">
      <alignment vertical="top" wrapText="1"/>
    </xf>
    <xf numFmtId="49" fontId="1" fillId="2" borderId="11" xfId="0" applyNumberFormat="1" applyFont="1" applyFill="1" applyBorder="1" applyAlignment="1">
      <alignment horizontal="left" vertical="top" wrapText="1"/>
    </xf>
    <xf numFmtId="49" fontId="1" fillId="2" borderId="26" xfId="0" applyNumberFormat="1" applyFont="1" applyFill="1" applyBorder="1" applyAlignment="1">
      <alignment wrapText="1"/>
    </xf>
    <xf numFmtId="0" fontId="1" fillId="2" borderId="26" xfId="0" applyFont="1" applyFill="1" applyBorder="1" applyAlignment="1">
      <alignment horizontal="left" vertical="top" wrapText="1"/>
    </xf>
    <xf numFmtId="49" fontId="6" fillId="0" borderId="11" xfId="0" applyNumberFormat="1" applyFont="1" applyBorder="1" applyAlignment="1">
      <alignment horizontal="center" vertical="top" wrapText="1"/>
    </xf>
    <xf numFmtId="49" fontId="6" fillId="0" borderId="44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164" fontId="1" fillId="5" borderId="24" xfId="0" applyNumberFormat="1" applyFont="1" applyFill="1" applyBorder="1" applyAlignment="1">
      <alignment horizontal="center" vertical="top" wrapText="1"/>
    </xf>
    <xf numFmtId="164" fontId="1" fillId="5" borderId="4" xfId="0" applyNumberFormat="1" applyFont="1" applyFill="1" applyBorder="1" applyAlignment="1">
      <alignment horizontal="center" vertical="top" wrapText="1"/>
    </xf>
    <xf numFmtId="164" fontId="5" fillId="2" borderId="45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vertical="top" wrapText="1"/>
    </xf>
    <xf numFmtId="0" fontId="4" fillId="0" borderId="44" xfId="0" applyFont="1" applyBorder="1"/>
    <xf numFmtId="0" fontId="7" fillId="0" borderId="0" xfId="0" applyFont="1"/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51" xfId="0" applyFont="1" applyBorder="1"/>
    <xf numFmtId="49" fontId="6" fillId="0" borderId="52" xfId="0" applyNumberFormat="1" applyFont="1" applyBorder="1" applyAlignment="1">
      <alignment horizontal="center" vertical="top" wrapText="1"/>
    </xf>
    <xf numFmtId="49" fontId="6" fillId="0" borderId="53" xfId="0" applyNumberFormat="1" applyFont="1" applyBorder="1" applyAlignment="1">
      <alignment horizontal="center" vertical="top" wrapText="1"/>
    </xf>
    <xf numFmtId="164" fontId="1" fillId="5" borderId="46" xfId="0" applyNumberFormat="1" applyFont="1" applyFill="1" applyBorder="1" applyAlignment="1">
      <alignment horizontal="center" vertical="top" wrapText="1"/>
    </xf>
    <xf numFmtId="164" fontId="1" fillId="5" borderId="11" xfId="0" applyNumberFormat="1" applyFont="1" applyFill="1" applyBorder="1" applyAlignment="1">
      <alignment horizontal="center" vertical="top" wrapText="1"/>
    </xf>
    <xf numFmtId="164" fontId="5" fillId="2" borderId="47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left" vertical="top" wrapText="1"/>
    </xf>
    <xf numFmtId="164" fontId="1" fillId="5" borderId="13" xfId="0" applyNumberFormat="1" applyFont="1" applyFill="1" applyBorder="1" applyAlignment="1">
      <alignment vertical="top"/>
    </xf>
    <xf numFmtId="164" fontId="1" fillId="5" borderId="14" xfId="0" applyNumberFormat="1" applyFont="1" applyFill="1" applyBorder="1" applyAlignment="1">
      <alignment vertical="top"/>
    </xf>
    <xf numFmtId="49" fontId="1" fillId="2" borderId="41" xfId="0" applyNumberFormat="1" applyFont="1" applyFill="1" applyBorder="1" applyAlignment="1">
      <alignment horizontal="left" vertical="top" wrapText="1"/>
    </xf>
    <xf numFmtId="49" fontId="1" fillId="2" borderId="42" xfId="0" applyNumberFormat="1" applyFont="1" applyFill="1" applyBorder="1" applyAlignment="1">
      <alignment horizontal="left" vertical="top" wrapText="1"/>
    </xf>
    <xf numFmtId="49" fontId="1" fillId="2" borderId="42" xfId="0" applyNumberFormat="1" applyFont="1" applyFill="1" applyBorder="1" applyAlignment="1">
      <alignment vertical="top" wrapText="1"/>
    </xf>
    <xf numFmtId="49" fontId="1" fillId="2" borderId="42" xfId="0" applyNumberFormat="1" applyFont="1" applyFill="1" applyBorder="1" applyAlignment="1">
      <alignment horizontal="center" vertical="top" wrapText="1"/>
    </xf>
    <xf numFmtId="49" fontId="1" fillId="2" borderId="54" xfId="0" applyNumberFormat="1" applyFont="1" applyFill="1" applyBorder="1" applyAlignment="1">
      <alignment horizontal="center" vertical="top" wrapText="1"/>
    </xf>
    <xf numFmtId="164" fontId="1" fillId="5" borderId="41" xfId="0" applyNumberFormat="1" applyFont="1" applyFill="1" applyBorder="1" applyAlignment="1">
      <alignment horizontal="right" vertical="top" wrapText="1"/>
    </xf>
    <xf numFmtId="164" fontId="1" fillId="5" borderId="42" xfId="0" applyNumberFormat="1" applyFont="1" applyFill="1" applyBorder="1" applyAlignment="1">
      <alignment horizontal="right" vertical="top" wrapText="1"/>
    </xf>
    <xf numFmtId="49" fontId="3" fillId="2" borderId="39" xfId="0" applyNumberFormat="1" applyFont="1" applyFill="1" applyBorder="1" applyAlignment="1">
      <alignment horizontal="right" vertical="top" wrapText="1"/>
    </xf>
    <xf numFmtId="164" fontId="3" fillId="2" borderId="41" xfId="0" applyNumberFormat="1" applyFont="1" applyFill="1" applyBorder="1" applyAlignment="1">
      <alignment horizontal="right" vertical="top" wrapText="1"/>
    </xf>
    <xf numFmtId="164" fontId="3" fillId="2" borderId="42" xfId="0" applyNumberFormat="1" applyFont="1" applyFill="1" applyBorder="1" applyAlignment="1">
      <alignment horizontal="right" vertical="top" wrapText="1"/>
    </xf>
    <xf numFmtId="164" fontId="5" fillId="2" borderId="43" xfId="0" applyNumberFormat="1" applyFont="1" applyFill="1" applyBorder="1" applyAlignment="1">
      <alignment horizontal="right" vertical="top" wrapText="1"/>
    </xf>
    <xf numFmtId="49" fontId="3" fillId="2" borderId="33" xfId="0" applyNumberFormat="1" applyFont="1" applyFill="1" applyBorder="1" applyAlignment="1">
      <alignment horizontal="right" vertical="top"/>
    </xf>
    <xf numFmtId="164" fontId="3" fillId="2" borderId="18" xfId="0" applyNumberFormat="1" applyFont="1" applyFill="1" applyBorder="1" applyAlignment="1">
      <alignment horizontal="right" vertical="top" wrapText="1"/>
    </xf>
    <xf numFmtId="164" fontId="5" fillId="2" borderId="55" xfId="0" applyNumberFormat="1" applyFont="1" applyFill="1" applyBorder="1" applyAlignment="1">
      <alignment horizontal="right" vertical="top" wrapText="1"/>
    </xf>
    <xf numFmtId="0" fontId="1" fillId="2" borderId="56" xfId="0" applyFont="1" applyFill="1" applyBorder="1" applyAlignment="1">
      <alignment horizontal="left"/>
    </xf>
    <xf numFmtId="49" fontId="3" fillId="2" borderId="0" xfId="0" applyNumberFormat="1" applyFont="1" applyFill="1" applyAlignment="1">
      <alignment horizontal="center" wrapText="1"/>
    </xf>
    <xf numFmtId="0" fontId="4" fillId="0" borderId="0" xfId="0" applyFont="1"/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56" xfId="0" applyFont="1" applyFill="1" applyBorder="1" applyAlignment="1">
      <alignment horizontal="left" wrapText="1"/>
    </xf>
    <xf numFmtId="0" fontId="3" fillId="2" borderId="36" xfId="0" applyFont="1" applyFill="1" applyBorder="1" applyAlignment="1">
      <alignment horizontal="center"/>
    </xf>
    <xf numFmtId="0" fontId="4" fillId="0" borderId="57" xfId="0" applyFont="1" applyBorder="1"/>
    <xf numFmtId="0" fontId="1" fillId="2" borderId="27" xfId="0" applyFont="1" applyFill="1" applyBorder="1" applyAlignment="1">
      <alignment wrapText="1"/>
    </xf>
    <xf numFmtId="165" fontId="1" fillId="2" borderId="27" xfId="0" applyNumberFormat="1" applyFont="1" applyFill="1" applyBorder="1"/>
    <xf numFmtId="165" fontId="1" fillId="2" borderId="58" xfId="0" applyNumberFormat="1" applyFont="1" applyFill="1" applyBorder="1"/>
    <xf numFmtId="0" fontId="1" fillId="2" borderId="59" xfId="0" applyFont="1" applyFill="1" applyBorder="1" applyAlignment="1">
      <alignment horizontal="left" wrapText="1"/>
    </xf>
    <xf numFmtId="166" fontId="1" fillId="2" borderId="0" xfId="0" applyNumberFormat="1" applyFont="1" applyFill="1" applyAlignment="1">
      <alignment horizontal="right"/>
    </xf>
    <xf numFmtId="0" fontId="1" fillId="2" borderId="60" xfId="0" applyFont="1" applyFill="1" applyBorder="1" applyAlignment="1">
      <alignment vertical="top"/>
    </xf>
    <xf numFmtId="0" fontId="1" fillId="2" borderId="60" xfId="0" applyFont="1" applyFill="1" applyBorder="1"/>
    <xf numFmtId="0" fontId="1" fillId="2" borderId="60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6" fillId="6" borderId="61" xfId="0" applyFont="1" applyFill="1" applyBorder="1" applyAlignment="1">
      <alignment horizontal="left" vertical="top"/>
    </xf>
    <xf numFmtId="49" fontId="8" fillId="2" borderId="61" xfId="0" applyNumberFormat="1" applyFont="1" applyFill="1" applyBorder="1" applyAlignment="1">
      <alignment horizontal="left" vertical="top"/>
    </xf>
    <xf numFmtId="0" fontId="5" fillId="0" borderId="62" xfId="0" applyFont="1" applyBorder="1" applyAlignment="1">
      <alignment horizontal="left" vertical="top"/>
    </xf>
    <xf numFmtId="0" fontId="5" fillId="0" borderId="62" xfId="0" applyFont="1" applyBorder="1" applyAlignment="1">
      <alignment horizontal="left" vertical="top" wrapText="1"/>
    </xf>
    <xf numFmtId="166" fontId="6" fillId="0" borderId="62" xfId="0" applyNumberFormat="1" applyFont="1" applyBorder="1" applyAlignment="1">
      <alignment horizontal="left" vertical="top"/>
    </xf>
    <xf numFmtId="166" fontId="6" fillId="0" borderId="0" xfId="0" applyNumberFormat="1" applyFont="1" applyAlignment="1">
      <alignment horizontal="left" vertical="top"/>
    </xf>
    <xf numFmtId="166" fontId="6" fillId="0" borderId="14" xfId="0" applyNumberFormat="1" applyFont="1" applyBorder="1" applyAlignment="1">
      <alignment horizontal="left" vertical="top"/>
    </xf>
    <xf numFmtId="0" fontId="6" fillId="0" borderId="62" xfId="0" applyFont="1" applyBorder="1" applyAlignment="1">
      <alignment horizontal="left" vertical="top"/>
    </xf>
    <xf numFmtId="0" fontId="9" fillId="6" borderId="39" xfId="0" applyFont="1" applyFill="1" applyBorder="1" applyAlignment="1">
      <alignment horizontal="left" vertical="top"/>
    </xf>
    <xf numFmtId="49" fontId="10" fillId="7" borderId="24" xfId="0" applyNumberFormat="1" applyFont="1" applyFill="1" applyBorder="1" applyAlignment="1">
      <alignment horizontal="left" vertical="top"/>
    </xf>
    <xf numFmtId="0" fontId="11" fillId="0" borderId="25" xfId="0" applyFont="1" applyBorder="1"/>
    <xf numFmtId="0" fontId="11" fillId="0" borderId="40" xfId="0" applyFont="1" applyBorder="1"/>
    <xf numFmtId="0" fontId="10" fillId="7" borderId="63" xfId="0" applyFont="1" applyFill="1" applyBorder="1" applyAlignment="1">
      <alignment horizontal="left" vertical="top"/>
    </xf>
    <xf numFmtId="166" fontId="10" fillId="7" borderId="25" xfId="0" applyNumberFormat="1" applyFont="1" applyFill="1" applyBorder="1" applyAlignment="1">
      <alignment horizontal="left" vertical="top"/>
    </xf>
    <xf numFmtId="166" fontId="10" fillId="7" borderId="24" xfId="0" applyNumberFormat="1" applyFont="1" applyFill="1" applyBorder="1" applyAlignment="1">
      <alignment horizontal="left" vertical="top" wrapText="1"/>
    </xf>
    <xf numFmtId="0" fontId="11" fillId="0" borderId="45" xfId="0" applyFont="1" applyBorder="1"/>
    <xf numFmtId="0" fontId="1" fillId="6" borderId="24" xfId="0" applyFont="1" applyFill="1" applyBorder="1" applyAlignment="1">
      <alignment horizontal="left" vertical="top"/>
    </xf>
    <xf numFmtId="49" fontId="1" fillId="8" borderId="64" xfId="0" applyNumberFormat="1" applyFont="1" applyFill="1" applyBorder="1" applyAlignment="1">
      <alignment horizontal="left" vertical="top"/>
    </xf>
    <xf numFmtId="49" fontId="1" fillId="8" borderId="64" xfId="0" applyNumberFormat="1" applyFont="1" applyFill="1" applyBorder="1" applyAlignment="1">
      <alignment horizontal="left" vertical="top" wrapText="1"/>
    </xf>
    <xf numFmtId="166" fontId="1" fillId="8" borderId="64" xfId="0" applyNumberFormat="1" applyFont="1" applyFill="1" applyBorder="1" applyAlignment="1">
      <alignment horizontal="left" vertical="top"/>
    </xf>
    <xf numFmtId="49" fontId="1" fillId="8" borderId="45" xfId="0" applyNumberFormat="1" applyFont="1" applyFill="1" applyBorder="1" applyAlignment="1">
      <alignment horizontal="left" vertical="top" wrapText="1"/>
    </xf>
    <xf numFmtId="0" fontId="1" fillId="8" borderId="65" xfId="0" applyFont="1" applyFill="1" applyBorder="1" applyAlignment="1">
      <alignment horizontal="left" vertical="top" wrapText="1"/>
    </xf>
    <xf numFmtId="0" fontId="6" fillId="8" borderId="63" xfId="0" applyFont="1" applyFill="1" applyBorder="1" applyAlignment="1">
      <alignment horizontal="left" vertical="top"/>
    </xf>
    <xf numFmtId="166" fontId="6" fillId="8" borderId="63" xfId="0" applyNumberFormat="1" applyFont="1" applyFill="1" applyBorder="1" applyAlignment="1">
      <alignment horizontal="left" vertical="top" wrapText="1"/>
    </xf>
    <xf numFmtId="166" fontId="1" fillId="8" borderId="63" xfId="0" applyNumberFormat="1" applyFont="1" applyFill="1" applyBorder="1" applyAlignment="1">
      <alignment horizontal="left" vertical="top" wrapText="1"/>
    </xf>
    <xf numFmtId="0" fontId="6" fillId="9" borderId="27" xfId="0" applyFont="1" applyFill="1" applyBorder="1" applyAlignment="1">
      <alignment horizontal="left" vertical="top"/>
    </xf>
    <xf numFmtId="49" fontId="6" fillId="9" borderId="26" xfId="0" applyNumberFormat="1" applyFont="1" applyFill="1" applyBorder="1" applyAlignment="1">
      <alignment horizontal="left" vertical="top"/>
    </xf>
    <xf numFmtId="0" fontId="6" fillId="9" borderId="27" xfId="0" applyFont="1" applyFill="1" applyBorder="1" applyAlignment="1">
      <alignment horizontal="left" vertical="top" wrapText="1"/>
    </xf>
    <xf numFmtId="166" fontId="11" fillId="9" borderId="26" xfId="0" applyNumberFormat="1" applyFont="1" applyFill="1" applyBorder="1" applyAlignment="1">
      <alignment horizontal="left" vertical="top"/>
    </xf>
    <xf numFmtId="166" fontId="11" fillId="9" borderId="27" xfId="0" applyNumberFormat="1" applyFont="1" applyFill="1" applyBorder="1" applyAlignment="1">
      <alignment horizontal="left" vertical="top" wrapText="1"/>
    </xf>
    <xf numFmtId="49" fontId="6" fillId="9" borderId="27" xfId="0" applyNumberFormat="1" applyFont="1" applyFill="1" applyBorder="1" applyAlignment="1">
      <alignment horizontal="left" vertical="top"/>
    </xf>
    <xf numFmtId="166" fontId="11" fillId="9" borderId="27" xfId="0" applyNumberFormat="1" applyFont="1" applyFill="1" applyBorder="1" applyAlignment="1">
      <alignment horizontal="left" vertical="top"/>
    </xf>
    <xf numFmtId="166" fontId="12" fillId="9" borderId="27" xfId="0" applyNumberFormat="1" applyFont="1" applyFill="1" applyBorder="1" applyAlignment="1">
      <alignment horizontal="left" vertical="top" wrapText="1"/>
    </xf>
    <xf numFmtId="166" fontId="13" fillId="9" borderId="27" xfId="0" applyNumberFormat="1" applyFont="1" applyFill="1" applyBorder="1" applyAlignment="1">
      <alignment horizontal="left" vertical="top" wrapText="1"/>
    </xf>
    <xf numFmtId="166" fontId="14" fillId="9" borderId="27" xfId="0" applyNumberFormat="1" applyFont="1" applyFill="1" applyBorder="1" applyAlignment="1">
      <alignment horizontal="left" vertical="top" wrapText="1"/>
    </xf>
    <xf numFmtId="0" fontId="15" fillId="9" borderId="27" xfId="0" applyFont="1" applyFill="1" applyBorder="1" applyAlignment="1">
      <alignment horizontal="left" vertical="top" wrapText="1"/>
    </xf>
    <xf numFmtId="0" fontId="6" fillId="9" borderId="27" xfId="0" applyFont="1" applyFill="1" applyBorder="1"/>
    <xf numFmtId="0" fontId="6" fillId="9" borderId="27" xfId="0" applyFont="1" applyFill="1" applyBorder="1" applyAlignment="1">
      <alignment vertical="top"/>
    </xf>
    <xf numFmtId="167" fontId="11" fillId="9" borderId="27" xfId="0" applyNumberFormat="1" applyFont="1" applyFill="1" applyBorder="1" applyAlignment="1">
      <alignment horizontal="left" vertical="top" wrapText="1"/>
    </xf>
    <xf numFmtId="167" fontId="14" fillId="9" borderId="27" xfId="0" applyNumberFormat="1" applyFont="1" applyFill="1" applyBorder="1" applyAlignment="1">
      <alignment horizontal="left" vertical="top" wrapText="1"/>
    </xf>
    <xf numFmtId="167" fontId="12" fillId="9" borderId="27" xfId="0" applyNumberFormat="1" applyFont="1" applyFill="1" applyBorder="1" applyAlignment="1">
      <alignment horizontal="left" vertical="top" wrapText="1"/>
    </xf>
    <xf numFmtId="0" fontId="6" fillId="9" borderId="14" xfId="0" applyFont="1" applyFill="1" applyBorder="1" applyAlignment="1">
      <alignment horizontal="left" vertical="top"/>
    </xf>
    <xf numFmtId="49" fontId="6" fillId="9" borderId="14" xfId="0" applyNumberFormat="1" applyFont="1" applyFill="1" applyBorder="1" applyAlignment="1">
      <alignment horizontal="left" vertical="top"/>
    </xf>
    <xf numFmtId="0" fontId="6" fillId="9" borderId="14" xfId="0" applyFont="1" applyFill="1" applyBorder="1"/>
    <xf numFmtId="166" fontId="11" fillId="9" borderId="14" xfId="0" applyNumberFormat="1" applyFont="1" applyFill="1" applyBorder="1" applyAlignment="1">
      <alignment horizontal="left" vertical="top"/>
    </xf>
    <xf numFmtId="49" fontId="3" fillId="10" borderId="66" xfId="0" applyNumberFormat="1" applyFont="1" applyFill="1" applyBorder="1" applyAlignment="1">
      <alignment horizontal="center" vertical="center"/>
    </xf>
    <xf numFmtId="166" fontId="5" fillId="10" borderId="67" xfId="0" applyNumberFormat="1" applyFont="1" applyFill="1" applyBorder="1" applyAlignment="1">
      <alignment horizontal="left"/>
    </xf>
    <xf numFmtId="167" fontId="3" fillId="10" borderId="0" xfId="0" applyNumberFormat="1" applyFont="1" applyFill="1" applyAlignment="1">
      <alignment horizontal="left" vertical="top" wrapText="1"/>
    </xf>
    <xf numFmtId="166" fontId="3" fillId="10" borderId="67" xfId="0" applyNumberFormat="1" applyFont="1" applyFill="1" applyBorder="1" applyAlignment="1">
      <alignment horizontal="left" wrapText="1"/>
    </xf>
    <xf numFmtId="167" fontId="1" fillId="10" borderId="68" xfId="0" applyNumberFormat="1" applyFont="1" applyFill="1" applyBorder="1" applyAlignment="1">
      <alignment horizontal="left" wrapText="1"/>
    </xf>
    <xf numFmtId="0" fontId="5" fillId="11" borderId="36" xfId="0" applyFont="1" applyFill="1" applyBorder="1" applyAlignment="1">
      <alignment horizontal="center"/>
    </xf>
    <xf numFmtId="0" fontId="11" fillId="0" borderId="69" xfId="0" applyFont="1" applyBorder="1"/>
    <xf numFmtId="0" fontId="11" fillId="0" borderId="57" xfId="0" applyFont="1" applyBorder="1"/>
    <xf numFmtId="0" fontId="16" fillId="0" borderId="0" xfId="0" applyFont="1"/>
    <xf numFmtId="0" fontId="5" fillId="0" borderId="28" xfId="0" applyFont="1" applyBorder="1" applyAlignment="1">
      <alignment horizontal="left"/>
    </xf>
    <xf numFmtId="0" fontId="11" fillId="0" borderId="49" xfId="0" applyFont="1" applyBorder="1"/>
    <xf numFmtId="0" fontId="11" fillId="0" borderId="48" xfId="0" applyFont="1" applyBorder="1"/>
    <xf numFmtId="0" fontId="6" fillId="0" borderId="0" xfId="0" applyFont="1"/>
    <xf numFmtId="0" fontId="6" fillId="0" borderId="44" xfId="0" applyFont="1" applyBorder="1" applyAlignment="1">
      <alignment wrapText="1"/>
    </xf>
    <xf numFmtId="0" fontId="5" fillId="0" borderId="36" xfId="0" applyFont="1" applyBorder="1"/>
    <xf numFmtId="0" fontId="3" fillId="0" borderId="0" xfId="0" applyFont="1"/>
    <xf numFmtId="0" fontId="5" fillId="0" borderId="36" xfId="0" applyFont="1" applyBorder="1" applyAlignment="1">
      <alignment horizontal="left"/>
    </xf>
    <xf numFmtId="9" fontId="6" fillId="0" borderId="0" xfId="0" applyNumberFormat="1" applyFont="1"/>
    <xf numFmtId="9" fontId="6" fillId="0" borderId="49" xfId="0" applyNumberFormat="1" applyFont="1" applyBorder="1"/>
    <xf numFmtId="0" fontId="6" fillId="0" borderId="49" xfId="0" applyFont="1" applyBorder="1"/>
    <xf numFmtId="0" fontId="6" fillId="0" borderId="48" xfId="0" applyFont="1" applyBorder="1" applyAlignment="1">
      <alignment wrapText="1"/>
    </xf>
    <xf numFmtId="0" fontId="17" fillId="0" borderId="36" xfId="0" applyFont="1" applyBorder="1" applyAlignment="1">
      <alignment horizontal="left" vertical="center" wrapText="1"/>
    </xf>
    <xf numFmtId="0" fontId="6" fillId="0" borderId="57" xfId="0" applyFont="1" applyBorder="1" applyAlignment="1">
      <alignment wrapText="1"/>
    </xf>
    <xf numFmtId="0" fontId="5" fillId="12" borderId="27" xfId="0" applyFont="1" applyFill="1" applyBorder="1" applyAlignment="1">
      <alignment vertical="center" wrapText="1"/>
    </xf>
    <xf numFmtId="166" fontId="5" fillId="12" borderId="27" xfId="0" applyNumberFormat="1" applyFont="1" applyFill="1" applyBorder="1" applyAlignment="1">
      <alignment horizontal="center" vertical="center" wrapText="1"/>
    </xf>
    <xf numFmtId="9" fontId="5" fillId="12" borderId="27" xfId="0" applyNumberFormat="1" applyFont="1" applyFill="1" applyBorder="1" applyAlignment="1">
      <alignment horizontal="center" vertical="center" wrapText="1"/>
    </xf>
    <xf numFmtId="0" fontId="5" fillId="12" borderId="27" xfId="0" applyFont="1" applyFill="1" applyBorder="1" applyAlignment="1">
      <alignment horizontal="center" vertical="center" wrapText="1"/>
    </xf>
    <xf numFmtId="0" fontId="10" fillId="13" borderId="27" xfId="0" applyFont="1" applyFill="1" applyBorder="1" applyAlignment="1">
      <alignment vertical="center" wrapText="1"/>
    </xf>
    <xf numFmtId="166" fontId="6" fillId="12" borderId="27" xfId="0" applyNumberFormat="1" applyFont="1" applyFill="1" applyBorder="1" applyAlignment="1">
      <alignment vertical="center" wrapText="1"/>
    </xf>
    <xf numFmtId="166" fontId="17" fillId="12" borderId="27" xfId="0" applyNumberFormat="1" applyFont="1" applyFill="1" applyBorder="1" applyAlignment="1">
      <alignment vertical="center" wrapText="1"/>
    </xf>
    <xf numFmtId="9" fontId="17" fillId="12" borderId="27" xfId="0" applyNumberFormat="1" applyFont="1" applyFill="1" applyBorder="1" applyAlignment="1">
      <alignment vertical="center" wrapText="1"/>
    </xf>
    <xf numFmtId="0" fontId="17" fillId="12" borderId="27" xfId="0" applyFont="1" applyFill="1" applyBorder="1" applyAlignment="1">
      <alignment vertical="center" wrapText="1"/>
    </xf>
    <xf numFmtId="0" fontId="6" fillId="12" borderId="27" xfId="0" applyFont="1" applyFill="1" applyBorder="1" applyAlignment="1">
      <alignment vertical="center" wrapText="1"/>
    </xf>
    <xf numFmtId="166" fontId="6" fillId="0" borderId="27" xfId="0" applyNumberFormat="1" applyFont="1" applyBorder="1" applyAlignment="1">
      <alignment vertical="center" wrapText="1"/>
    </xf>
    <xf numFmtId="9" fontId="6" fillId="0" borderId="27" xfId="0" applyNumberFormat="1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7" xfId="0" applyFont="1" applyBorder="1" applyAlignment="1">
      <alignment wrapText="1"/>
    </xf>
    <xf numFmtId="0" fontId="9" fillId="14" borderId="27" xfId="0" applyFont="1" applyFill="1" applyBorder="1" applyAlignment="1">
      <alignment vertical="center" wrapText="1"/>
    </xf>
    <xf numFmtId="166" fontId="9" fillId="15" borderId="27" xfId="0" applyNumberFormat="1" applyFont="1" applyFill="1" applyBorder="1" applyAlignment="1">
      <alignment vertical="center" wrapText="1"/>
    </xf>
    <xf numFmtId="9" fontId="9" fillId="15" borderId="27" xfId="0" applyNumberFormat="1" applyFont="1" applyFill="1" applyBorder="1" applyAlignment="1">
      <alignment vertical="center" wrapText="1"/>
    </xf>
    <xf numFmtId="0" fontId="9" fillId="15" borderId="27" xfId="0" applyFont="1" applyFill="1" applyBorder="1" applyAlignment="1">
      <alignment vertical="center" wrapText="1"/>
    </xf>
    <xf numFmtId="0" fontId="13" fillId="15" borderId="27" xfId="0" applyFont="1" applyFill="1" applyBorder="1" applyAlignment="1">
      <alignment wrapText="1"/>
    </xf>
    <xf numFmtId="0" fontId="18" fillId="0" borderId="0" xfId="0" applyFont="1"/>
    <xf numFmtId="0" fontId="6" fillId="12" borderId="27" xfId="0" applyFont="1" applyFill="1" applyBorder="1" applyAlignment="1">
      <alignment horizontal="left" vertical="center" wrapText="1"/>
    </xf>
    <xf numFmtId="0" fontId="13" fillId="0" borderId="27" xfId="0" applyFont="1" applyBorder="1" applyAlignment="1">
      <alignment wrapText="1"/>
    </xf>
    <xf numFmtId="166" fontId="19" fillId="15" borderId="27" xfId="0" applyNumberFormat="1" applyFont="1" applyFill="1" applyBorder="1" applyAlignment="1">
      <alignment vertical="center" wrapText="1"/>
    </xf>
    <xf numFmtId="9" fontId="19" fillId="15" borderId="27" xfId="0" applyNumberFormat="1" applyFont="1" applyFill="1" applyBorder="1" applyAlignment="1">
      <alignment vertical="center" wrapText="1"/>
    </xf>
    <xf numFmtId="0" fontId="20" fillId="15" borderId="27" xfId="0" applyFont="1" applyFill="1" applyBorder="1" applyAlignment="1">
      <alignment vertical="center" wrapText="1"/>
    </xf>
    <xf numFmtId="0" fontId="20" fillId="15" borderId="27" xfId="0" applyFont="1" applyFill="1" applyBorder="1" applyAlignment="1">
      <alignment wrapText="1"/>
    </xf>
    <xf numFmtId="0" fontId="5" fillId="16" borderId="14" xfId="0" applyFont="1" applyFill="1" applyBorder="1" applyAlignment="1">
      <alignment vertical="center" wrapText="1"/>
    </xf>
    <xf numFmtId="166" fontId="5" fillId="17" borderId="14" xfId="0" applyNumberFormat="1" applyFont="1" applyFill="1" applyBorder="1" applyAlignment="1">
      <alignment vertical="center" wrapText="1"/>
    </xf>
    <xf numFmtId="9" fontId="6" fillId="17" borderId="14" xfId="0" applyNumberFormat="1" applyFont="1" applyFill="1" applyBorder="1" applyAlignment="1">
      <alignment vertical="center" wrapText="1"/>
    </xf>
    <xf numFmtId="0" fontId="6" fillId="17" borderId="14" xfId="0" applyFont="1" applyFill="1" applyBorder="1" applyAlignment="1">
      <alignment vertical="center" wrapText="1"/>
    </xf>
    <xf numFmtId="0" fontId="6" fillId="17" borderId="27" xfId="0" applyFont="1" applyFill="1" applyBorder="1" applyAlignment="1">
      <alignment wrapText="1"/>
    </xf>
    <xf numFmtId="0" fontId="6" fillId="12" borderId="27" xfId="0" applyFont="1" applyFill="1" applyBorder="1" applyAlignment="1">
      <alignment horizontal="left" vertical="top" wrapText="1"/>
    </xf>
    <xf numFmtId="166" fontId="6" fillId="0" borderId="14" xfId="0" applyNumberFormat="1" applyFont="1" applyBorder="1" applyAlignment="1">
      <alignment vertical="center" wrapText="1"/>
    </xf>
    <xf numFmtId="0" fontId="18" fillId="0" borderId="0" xfId="0" applyFont="1" applyAlignment="1">
      <alignment wrapText="1"/>
    </xf>
    <xf numFmtId="0" fontId="6" fillId="12" borderId="36" xfId="0" applyFont="1" applyFill="1" applyBorder="1" applyAlignment="1">
      <alignment horizontal="left" vertical="top" wrapText="1"/>
    </xf>
    <xf numFmtId="0" fontId="6" fillId="0" borderId="57" xfId="0" applyFont="1" applyBorder="1" applyAlignment="1">
      <alignment vertical="center" wrapText="1"/>
    </xf>
    <xf numFmtId="0" fontId="6" fillId="12" borderId="15" xfId="0" applyFont="1" applyFill="1" applyBorder="1" applyAlignment="1">
      <alignment horizontal="left" vertical="top" wrapText="1"/>
    </xf>
    <xf numFmtId="0" fontId="12" fillId="0" borderId="27" xfId="0" applyFont="1" applyBorder="1" applyAlignment="1">
      <alignment wrapText="1"/>
    </xf>
    <xf numFmtId="0" fontId="5" fillId="18" borderId="28" xfId="0" applyFont="1" applyFill="1" applyBorder="1" applyAlignment="1">
      <alignment vertical="center" wrapText="1"/>
    </xf>
    <xf numFmtId="166" fontId="5" fillId="17" borderId="27" xfId="0" applyNumberFormat="1" applyFont="1" applyFill="1" applyBorder="1" applyAlignment="1">
      <alignment vertical="center" wrapText="1"/>
    </xf>
    <xf numFmtId="9" fontId="5" fillId="17" borderId="27" xfId="0" applyNumberFormat="1" applyFont="1" applyFill="1" applyBorder="1" applyAlignment="1">
      <alignment vertical="center" wrapText="1"/>
    </xf>
    <xf numFmtId="0" fontId="5" fillId="17" borderId="57" xfId="0" applyFont="1" applyFill="1" applyBorder="1" applyAlignment="1">
      <alignment vertical="center" wrapText="1"/>
    </xf>
    <xf numFmtId="0" fontId="5" fillId="17" borderId="27" xfId="0" applyFont="1" applyFill="1" applyBorder="1" applyAlignment="1">
      <alignment wrapText="1"/>
    </xf>
    <xf numFmtId="0" fontId="21" fillId="0" borderId="0" xfId="0" applyFont="1"/>
    <xf numFmtId="0" fontId="6" fillId="12" borderId="15" xfId="0" applyFont="1" applyFill="1" applyBorder="1" applyAlignment="1">
      <alignment vertical="center" wrapText="1"/>
    </xf>
    <xf numFmtId="166" fontId="6" fillId="0" borderId="11" xfId="0" applyNumberFormat="1" applyFont="1" applyBorder="1" applyAlignment="1">
      <alignment vertical="center" wrapText="1"/>
    </xf>
    <xf numFmtId="0" fontId="5" fillId="18" borderId="36" xfId="0" applyFont="1" applyFill="1" applyBorder="1" applyAlignment="1">
      <alignment vertical="center" wrapText="1"/>
    </xf>
    <xf numFmtId="0" fontId="6" fillId="12" borderId="36" xfId="0" applyFont="1" applyFill="1" applyBorder="1" applyAlignment="1">
      <alignment vertical="center" wrapText="1"/>
    </xf>
    <xf numFmtId="0" fontId="18" fillId="12" borderId="36" xfId="0" applyFont="1" applyFill="1" applyBorder="1" applyAlignment="1">
      <alignment vertical="center" wrapText="1"/>
    </xf>
    <xf numFmtId="166" fontId="18" fillId="0" borderId="27" xfId="0" applyNumberFormat="1" applyFont="1" applyBorder="1" applyAlignment="1">
      <alignment vertical="center" wrapText="1"/>
    </xf>
    <xf numFmtId="9" fontId="18" fillId="0" borderId="27" xfId="0" applyNumberFormat="1" applyFont="1" applyBorder="1" applyAlignment="1">
      <alignment vertical="center" wrapText="1"/>
    </xf>
    <xf numFmtId="0" fontId="18" fillId="0" borderId="57" xfId="0" applyFont="1" applyBorder="1" applyAlignment="1">
      <alignment vertical="center" wrapText="1"/>
    </xf>
    <xf numFmtId="0" fontId="18" fillId="0" borderId="27" xfId="0" applyFont="1" applyBorder="1" applyAlignment="1">
      <alignment wrapText="1"/>
    </xf>
    <xf numFmtId="0" fontId="21" fillId="18" borderId="36" xfId="0" applyFont="1" applyFill="1" applyBorder="1" applyAlignment="1">
      <alignment vertical="center" wrapText="1"/>
    </xf>
    <xf numFmtId="166" fontId="18" fillId="17" borderId="27" xfId="0" applyNumberFormat="1" applyFont="1" applyFill="1" applyBorder="1" applyAlignment="1">
      <alignment vertical="center" wrapText="1"/>
    </xf>
    <xf numFmtId="9" fontId="18" fillId="17" borderId="27" xfId="0" applyNumberFormat="1" applyFont="1" applyFill="1" applyBorder="1" applyAlignment="1">
      <alignment vertical="center" wrapText="1"/>
    </xf>
    <xf numFmtId="0" fontId="18" fillId="17" borderId="57" xfId="0" applyFont="1" applyFill="1" applyBorder="1" applyAlignment="1">
      <alignment vertical="center" wrapText="1"/>
    </xf>
    <xf numFmtId="0" fontId="18" fillId="17" borderId="27" xfId="0" applyFont="1" applyFill="1" applyBorder="1" applyAlignment="1">
      <alignment wrapText="1"/>
    </xf>
    <xf numFmtId="0" fontId="22" fillId="14" borderId="36" xfId="0" applyFont="1" applyFill="1" applyBorder="1" applyAlignment="1">
      <alignment vertical="center" wrapText="1"/>
    </xf>
    <xf numFmtId="166" fontId="23" fillId="15" borderId="27" xfId="0" applyNumberFormat="1" applyFont="1" applyFill="1" applyBorder="1" applyAlignment="1">
      <alignment vertical="center" wrapText="1"/>
    </xf>
    <xf numFmtId="166" fontId="23" fillId="15" borderId="14" xfId="0" applyNumberFormat="1" applyFont="1" applyFill="1" applyBorder="1" applyAlignment="1">
      <alignment vertical="center" wrapText="1"/>
    </xf>
    <xf numFmtId="9" fontId="23" fillId="15" borderId="27" xfId="0" applyNumberFormat="1" applyFont="1" applyFill="1" applyBorder="1" applyAlignment="1">
      <alignment vertical="center" wrapText="1"/>
    </xf>
    <xf numFmtId="0" fontId="23" fillId="15" borderId="57" xfId="0" applyFont="1" applyFill="1" applyBorder="1" applyAlignment="1">
      <alignment vertical="center" wrapText="1"/>
    </xf>
    <xf numFmtId="0" fontId="23" fillId="15" borderId="27" xfId="0" applyFont="1" applyFill="1" applyBorder="1" applyAlignment="1">
      <alignment wrapText="1"/>
    </xf>
    <xf numFmtId="0" fontId="21" fillId="12" borderId="27" xfId="0" applyFont="1" applyFill="1" applyBorder="1" applyAlignment="1">
      <alignment vertical="center" wrapText="1"/>
    </xf>
    <xf numFmtId="166" fontId="18" fillId="12" borderId="14" xfId="0" applyNumberFormat="1" applyFont="1" applyFill="1" applyBorder="1" applyAlignment="1">
      <alignment vertical="center" wrapText="1"/>
    </xf>
    <xf numFmtId="166" fontId="18" fillId="19" borderId="15" xfId="0" applyNumberFormat="1" applyFont="1" applyFill="1" applyBorder="1" applyAlignment="1">
      <alignment vertical="center" wrapText="1"/>
    </xf>
    <xf numFmtId="0" fontId="7" fillId="20" borderId="70" xfId="0" applyFont="1" applyFill="1" applyBorder="1" applyAlignment="1">
      <alignment horizontal="center"/>
    </xf>
    <xf numFmtId="9" fontId="18" fillId="12" borderId="52" xfId="0" applyNumberFormat="1" applyFont="1" applyFill="1" applyBorder="1" applyAlignment="1">
      <alignment vertical="center" wrapText="1"/>
    </xf>
    <xf numFmtId="0" fontId="18" fillId="12" borderId="14" xfId="0" applyFont="1" applyFill="1" applyBorder="1" applyAlignment="1">
      <alignment vertical="center" wrapText="1"/>
    </xf>
    <xf numFmtId="166" fontId="18" fillId="0" borderId="0" xfId="0" applyNumberFormat="1" applyFont="1"/>
    <xf numFmtId="9" fontId="18" fillId="0" borderId="0" xfId="0" applyNumberFormat="1" applyFont="1"/>
    <xf numFmtId="0" fontId="21" fillId="0" borderId="0" xfId="0" applyFont="1" applyAlignment="1">
      <alignment vertical="center"/>
    </xf>
    <xf numFmtId="166" fontId="21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166" fontId="16" fillId="0" borderId="0" xfId="0" applyNumberFormat="1" applyFont="1"/>
    <xf numFmtId="9" fontId="16" fillId="0" borderId="0" xfId="0" applyNumberFormat="1" applyFont="1"/>
    <xf numFmtId="0" fontId="16" fillId="0" borderId="0" xfId="0" applyFont="1" applyAlignment="1">
      <alignment wrapText="1"/>
    </xf>
    <xf numFmtId="166" fontId="6" fillId="0" borderId="0" xfId="0" applyNumberFormat="1" applyFont="1" applyAlignment="1">
      <alignment horizontal="left"/>
    </xf>
    <xf numFmtId="0" fontId="5" fillId="0" borderId="0" xfId="0" applyFont="1"/>
    <xf numFmtId="166" fontId="5" fillId="0" borderId="27" xfId="0" applyNumberFormat="1" applyFont="1" applyBorder="1" applyAlignment="1">
      <alignment horizontal="left"/>
    </xf>
    <xf numFmtId="0" fontId="6" fillId="0" borderId="0" xfId="0" applyFont="1" applyAlignment="1">
      <alignment wrapText="1"/>
    </xf>
    <xf numFmtId="0" fontId="17" fillId="0" borderId="0" xfId="0" applyFont="1" applyAlignment="1">
      <alignment horizontal="left" vertical="center" wrapText="1"/>
    </xf>
    <xf numFmtId="166" fontId="5" fillId="12" borderId="27" xfId="0" applyNumberFormat="1" applyFont="1" applyFill="1" applyBorder="1" applyAlignment="1">
      <alignment horizontal="left" vertical="center" wrapText="1"/>
    </xf>
    <xf numFmtId="166" fontId="6" fillId="0" borderId="27" xfId="0" applyNumberFormat="1" applyFont="1" applyBorder="1" applyAlignment="1">
      <alignment horizontal="left" vertical="center" wrapText="1"/>
    </xf>
    <xf numFmtId="166" fontId="9" fillId="15" borderId="27" xfId="0" applyNumberFormat="1" applyFont="1" applyFill="1" applyBorder="1" applyAlignment="1">
      <alignment horizontal="left" vertical="center" wrapText="1"/>
    </xf>
    <xf numFmtId="0" fontId="20" fillId="14" borderId="27" xfId="0" applyFont="1" applyFill="1" applyBorder="1" applyAlignment="1">
      <alignment horizontal="center" vertical="center" wrapText="1"/>
    </xf>
    <xf numFmtId="166" fontId="6" fillId="17" borderId="14" xfId="0" applyNumberFormat="1" applyFont="1" applyFill="1" applyBorder="1" applyAlignment="1">
      <alignment horizontal="left" vertical="center" wrapText="1"/>
    </xf>
    <xf numFmtId="166" fontId="6" fillId="0" borderId="14" xfId="0" applyNumberFormat="1" applyFont="1" applyBorder="1" applyAlignment="1">
      <alignment horizontal="left" vertical="center" wrapText="1"/>
    </xf>
    <xf numFmtId="166" fontId="11" fillId="0" borderId="11" xfId="0" applyNumberFormat="1" applyFont="1" applyBorder="1" applyAlignment="1">
      <alignment horizontal="left"/>
    </xf>
    <xf numFmtId="166" fontId="11" fillId="0" borderId="26" xfId="0" applyNumberFormat="1" applyFont="1" applyBorder="1" applyAlignment="1">
      <alignment horizontal="left"/>
    </xf>
    <xf numFmtId="0" fontId="5" fillId="16" borderId="27" xfId="0" applyFont="1" applyFill="1" applyBorder="1" applyAlignment="1">
      <alignment vertical="center" wrapText="1"/>
    </xf>
    <xf numFmtId="166" fontId="6" fillId="17" borderId="27" xfId="0" applyNumberFormat="1" applyFont="1" applyFill="1" applyBorder="1" applyAlignment="1">
      <alignment horizontal="left" vertical="center" wrapText="1"/>
    </xf>
    <xf numFmtId="0" fontId="17" fillId="12" borderId="36" xfId="0" applyFont="1" applyFill="1" applyBorder="1" applyAlignment="1">
      <alignment vertical="center" wrapText="1"/>
    </xf>
    <xf numFmtId="0" fontId="5" fillId="16" borderId="36" xfId="0" applyFont="1" applyFill="1" applyBorder="1" applyAlignment="1">
      <alignment vertical="center" wrapText="1"/>
    </xf>
    <xf numFmtId="0" fontId="5" fillId="12" borderId="36" xfId="0" applyFont="1" applyFill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166" fontId="6" fillId="0" borderId="27" xfId="0" applyNumberFormat="1" applyFont="1" applyBorder="1" applyAlignment="1">
      <alignment horizontal="left"/>
    </xf>
    <xf numFmtId="0" fontId="17" fillId="0" borderId="27" xfId="0" applyFont="1" applyBorder="1" applyAlignment="1">
      <alignment wrapText="1"/>
    </xf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11" fillId="0" borderId="0" xfId="0" applyFont="1"/>
    <xf numFmtId="0" fontId="5" fillId="0" borderId="14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 wrapText="1"/>
    </xf>
    <xf numFmtId="0" fontId="6" fillId="0" borderId="26" xfId="0" applyFont="1" applyBorder="1"/>
    <xf numFmtId="0" fontId="24" fillId="12" borderId="27" xfId="0" applyFont="1" applyFill="1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165" fontId="5" fillId="0" borderId="27" xfId="0" applyNumberFormat="1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center" vertical="top" wrapText="1"/>
    </xf>
    <xf numFmtId="10" fontId="7" fillId="0" borderId="0" xfId="0" applyNumberFormat="1" applyFont="1"/>
    <xf numFmtId="0" fontId="25" fillId="0" borderId="46" xfId="0" applyFont="1" applyBorder="1" applyAlignment="1">
      <alignment vertical="center" wrapText="1"/>
    </xf>
    <xf numFmtId="166" fontId="25" fillId="0" borderId="0" xfId="0" applyNumberFormat="1" applyFont="1" applyAlignment="1">
      <alignment vertical="center" wrapText="1"/>
    </xf>
    <xf numFmtId="10" fontId="25" fillId="0" borderId="0" xfId="0" applyNumberFormat="1" applyFont="1" applyAlignment="1">
      <alignment vertical="center" wrapText="1"/>
    </xf>
    <xf numFmtId="0" fontId="5" fillId="12" borderId="14" xfId="0" applyFont="1" applyFill="1" applyBorder="1" applyAlignment="1">
      <alignment horizontal="center" vertical="center" wrapText="1"/>
    </xf>
    <xf numFmtId="166" fontId="5" fillId="12" borderId="14" xfId="0" applyNumberFormat="1" applyFont="1" applyFill="1" applyBorder="1" applyAlignment="1">
      <alignment horizontal="center" vertical="center" wrapText="1"/>
    </xf>
    <xf numFmtId="10" fontId="5" fillId="12" borderId="14" xfId="0" applyNumberFormat="1" applyFont="1" applyFill="1" applyBorder="1" applyAlignment="1">
      <alignment horizontal="center" vertical="center" wrapText="1"/>
    </xf>
    <xf numFmtId="0" fontId="11" fillId="0" borderId="26" xfId="0" applyFont="1" applyBorder="1"/>
    <xf numFmtId="10" fontId="11" fillId="0" borderId="26" xfId="0" applyNumberFormat="1" applyFont="1" applyBorder="1"/>
    <xf numFmtId="10" fontId="17" fillId="12" borderId="27" xfId="0" applyNumberFormat="1" applyFont="1" applyFill="1" applyBorder="1" applyAlignment="1">
      <alignment vertical="center" wrapText="1"/>
    </xf>
    <xf numFmtId="166" fontId="6" fillId="20" borderId="27" xfId="0" applyNumberFormat="1" applyFont="1" applyFill="1" applyBorder="1" applyAlignment="1">
      <alignment vertical="center" wrapText="1"/>
    </xf>
    <xf numFmtId="10" fontId="6" fillId="20" borderId="27" xfId="0" applyNumberFormat="1" applyFont="1" applyFill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166" fontId="7" fillId="0" borderId="0" xfId="0" applyNumberFormat="1" applyFont="1"/>
    <xf numFmtId="0" fontId="5" fillId="21" borderId="27" xfId="0" applyFont="1" applyFill="1" applyBorder="1" applyAlignment="1">
      <alignment vertical="center" wrapText="1"/>
    </xf>
    <xf numFmtId="166" fontId="6" fillId="20" borderId="14" xfId="0" applyNumberFormat="1" applyFont="1" applyFill="1" applyBorder="1" applyAlignment="1">
      <alignment vertical="center" wrapText="1"/>
    </xf>
    <xf numFmtId="166" fontId="17" fillId="20" borderId="14" xfId="0" applyNumberFormat="1" applyFont="1" applyFill="1" applyBorder="1" applyAlignment="1">
      <alignment vertical="center" wrapText="1"/>
    </xf>
    <xf numFmtId="10" fontId="17" fillId="20" borderId="14" xfId="0" applyNumberFormat="1" applyFont="1" applyFill="1" applyBorder="1" applyAlignment="1">
      <alignment vertical="center" wrapText="1"/>
    </xf>
    <xf numFmtId="166" fontId="6" fillId="0" borderId="36" xfId="0" applyNumberFormat="1" applyFont="1" applyBorder="1" applyAlignment="1">
      <alignment vertical="center" wrapText="1"/>
    </xf>
    <xf numFmtId="0" fontId="6" fillId="12" borderId="36" xfId="0" applyFont="1" applyFill="1" applyBorder="1" applyAlignment="1">
      <alignment horizontal="left" vertical="center" wrapText="1"/>
    </xf>
    <xf numFmtId="0" fontId="5" fillId="21" borderId="36" xfId="0" applyFont="1" applyFill="1" applyBorder="1" applyAlignment="1">
      <alignment vertical="center" wrapText="1"/>
    </xf>
    <xf numFmtId="10" fontId="6" fillId="20" borderId="14" xfId="0" applyNumberFormat="1" applyFont="1" applyFill="1" applyBorder="1" applyAlignment="1">
      <alignment vertical="center" wrapText="1"/>
    </xf>
    <xf numFmtId="0" fontId="17" fillId="21" borderId="36" xfId="0" applyFont="1" applyFill="1" applyBorder="1" applyAlignment="1">
      <alignment vertical="center" wrapText="1"/>
    </xf>
    <xf numFmtId="0" fontId="11" fillId="20" borderId="26" xfId="0" applyFont="1" applyFill="1" applyBorder="1"/>
    <xf numFmtId="10" fontId="11" fillId="20" borderId="26" xfId="0" applyNumberFormat="1" applyFont="1" applyFill="1" applyBorder="1"/>
    <xf numFmtId="166" fontId="6" fillId="12" borderId="14" xfId="0" applyNumberFormat="1" applyFont="1" applyFill="1" applyBorder="1" applyAlignment="1">
      <alignment vertical="center" wrapText="1"/>
    </xf>
    <xf numFmtId="166" fontId="6" fillId="22" borderId="14" xfId="0" applyNumberFormat="1" applyFont="1" applyFill="1" applyBorder="1" applyAlignment="1">
      <alignment vertical="center" wrapText="1"/>
    </xf>
    <xf numFmtId="10" fontId="6" fillId="12" borderId="14" xfId="0" applyNumberFormat="1" applyFont="1" applyFill="1" applyBorder="1" applyAlignment="1">
      <alignment vertical="center" wrapText="1"/>
    </xf>
    <xf numFmtId="166" fontId="6" fillId="0" borderId="0" xfId="0" applyNumberFormat="1" applyFont="1"/>
    <xf numFmtId="166" fontId="17" fillId="0" borderId="0" xfId="0" applyNumberFormat="1" applyFont="1" applyAlignment="1">
      <alignment vertical="center" wrapText="1"/>
    </xf>
    <xf numFmtId="10" fontId="6" fillId="0" borderId="0" xfId="0" applyNumberFormat="1" applyFont="1"/>
    <xf numFmtId="166" fontId="2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sisanda.com/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qVQtyr7AXdiVotWmxgNo4LdfyX6nrc14/view?usp=sharing" TargetMode="External"/><Relationship Id="rId2" Type="http://schemas.openxmlformats.org/officeDocument/2006/relationships/hyperlink" Target="https://drive.google.com/file/d/1qVQtyr7AXdiVotWmxgNo4LdfyX6nrc14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 showGridLines="0" zoomScale="70" zoomScaleNormal="70">
      <selection activeCell="M15" sqref="M15"/>
    </sheetView>
  </sheetViews>
  <sheetFormatPr defaultRowHeight="15" outlineLevelRow="0" outlineLevelCol="0" x14ac:dyDescent="0.35" defaultColWidth="14.453125"/>
  <cols>
    <col min="1" max="1" width="14.453125" customWidth="1"/>
    <col min="2" max="2" width="17.81640625" customWidth="1"/>
    <col min="3" max="3" width="27.453125" customWidth="1"/>
    <col min="4" max="4" width="37.1796875" customWidth="1"/>
    <col min="5" max="5" width="7" customWidth="1"/>
    <col min="6" max="6" width="40.7265625" customWidth="1"/>
    <col min="7" max="7" width="36.26953125" customWidth="1"/>
    <col min="8" max="8" width="24" hidden="1" customWidth="1"/>
    <col min="9" max="9" width="14.453125" customWidth="1"/>
    <col min="10" max="10" width="16.453125" customWidth="1"/>
    <col min="11" max="11" width="10.81640625" customWidth="1"/>
    <col min="12" max="16" width="19.54296875" customWidth="1"/>
  </cols>
  <sheetData>
    <row r="1" ht="16.5" customHeight="1" spans="1:26" x14ac:dyDescent="0.25">
      <c r="A1" s="1"/>
      <c r="B1" s="2"/>
      <c r="C1" s="3"/>
      <c r="D1" s="3"/>
      <c r="E1" s="4"/>
      <c r="F1" s="4"/>
      <c r="G1" s="3"/>
      <c r="H1" s="3"/>
      <c r="I1" s="5"/>
      <c r="J1" s="5"/>
      <c r="K1" s="5"/>
      <c r="L1" s="4"/>
      <c r="M1" s="4"/>
      <c r="N1" s="4"/>
      <c r="O1" s="4"/>
      <c r="P1" s="4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 spans="1:26" x14ac:dyDescent="0.25">
      <c r="A2" s="1"/>
      <c r="B2" s="6" t="s">
        <v>0</v>
      </c>
      <c r="C2" s="7" t="s">
        <v>1</v>
      </c>
      <c r="D2" s="8" t="s">
        <v>2</v>
      </c>
      <c r="E2" s="9" t="s">
        <v>3</v>
      </c>
      <c r="F2" s="10"/>
      <c r="G2" s="11" t="s">
        <v>4</v>
      </c>
      <c r="H2" s="11" t="s">
        <v>5</v>
      </c>
      <c r="I2" s="12" t="s">
        <v>6</v>
      </c>
      <c r="J2" s="13"/>
      <c r="K2" s="13"/>
      <c r="L2" s="14" t="s">
        <v>7</v>
      </c>
      <c r="M2" s="13"/>
      <c r="N2" s="13"/>
      <c r="O2" s="10"/>
      <c r="P2" s="15" t="s">
        <v>8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 spans="1:26" x14ac:dyDescent="0.25">
      <c r="A3" s="1"/>
      <c r="B3" s="16"/>
      <c r="C3" s="17"/>
      <c r="D3" s="18"/>
      <c r="E3" s="19" t="s">
        <v>9</v>
      </c>
      <c r="F3" s="20" t="s">
        <v>10</v>
      </c>
      <c r="G3" s="17"/>
      <c r="H3" s="17"/>
      <c r="I3" s="21" t="s">
        <v>11</v>
      </c>
      <c r="J3" s="21" t="s">
        <v>12</v>
      </c>
      <c r="K3" s="22" t="s">
        <v>13</v>
      </c>
      <c r="L3" s="23" t="s">
        <v>14</v>
      </c>
      <c r="M3" s="24" t="s">
        <v>15</v>
      </c>
      <c r="N3" s="24" t="s">
        <v>16</v>
      </c>
      <c r="O3" s="24" t="s">
        <v>17</v>
      </c>
      <c r="P3" s="18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 spans="1:26" x14ac:dyDescent="0.25">
      <c r="A4" s="1"/>
      <c r="B4" s="25" t="s">
        <v>18</v>
      </c>
      <c r="C4" s="26" t="s">
        <v>19</v>
      </c>
      <c r="D4" s="26" t="s">
        <v>20</v>
      </c>
      <c r="E4" s="27" t="s">
        <v>21</v>
      </c>
      <c r="F4" s="28" t="s">
        <v>22</v>
      </c>
      <c r="G4" s="29" t="s">
        <v>23</v>
      </c>
      <c r="H4" s="26" t="s">
        <v>24</v>
      </c>
      <c r="I4" s="30" t="s">
        <v>25</v>
      </c>
      <c r="J4" s="30" t="s">
        <v>25</v>
      </c>
      <c r="K4" s="31" t="s">
        <v>26</v>
      </c>
      <c r="L4" s="32">
        <v>0</v>
      </c>
      <c r="M4" s="33">
        <v>0</v>
      </c>
      <c r="N4" s="33">
        <v>0</v>
      </c>
      <c r="O4" s="33">
        <v>0</v>
      </c>
      <c r="P4" s="34">
        <f>SUM(L4:O4)</f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 spans="1:26" x14ac:dyDescent="0.25">
      <c r="A5" s="1"/>
      <c r="B5" s="35"/>
      <c r="C5" s="36"/>
      <c r="D5" s="36"/>
      <c r="E5" s="37" t="s">
        <v>27</v>
      </c>
      <c r="F5" s="38" t="s">
        <v>28</v>
      </c>
      <c r="G5" s="39" t="s">
        <v>29</v>
      </c>
      <c r="H5" s="36"/>
      <c r="I5" s="36"/>
      <c r="J5" s="36"/>
      <c r="K5" s="40"/>
      <c r="L5" s="35"/>
      <c r="M5" s="36"/>
      <c r="N5" s="36"/>
      <c r="O5" s="36"/>
      <c r="P5" s="4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 spans="1:26" x14ac:dyDescent="0.25">
      <c r="A6" s="1"/>
      <c r="B6" s="42" t="s">
        <v>30</v>
      </c>
      <c r="C6" s="43"/>
      <c r="D6" s="43"/>
      <c r="E6" s="43"/>
      <c r="F6" s="43"/>
      <c r="G6" s="43"/>
      <c r="H6" s="43"/>
      <c r="I6" s="43"/>
      <c r="J6" s="43"/>
      <c r="K6" s="43"/>
      <c r="L6" s="44">
        <f t="shared" ref="L6:P6" si="0">SUM(L4)</f>
      </c>
      <c r="M6" s="45">
        <f t="shared" si="0"/>
        <v>0</v>
      </c>
      <c r="N6" s="45">
        <f t="shared" si="0"/>
        <v>0</v>
      </c>
      <c r="O6" s="45">
        <f t="shared" si="0"/>
        <v>0</v>
      </c>
      <c r="P6" s="34">
        <f t="shared" si="0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 spans="1:26" x14ac:dyDescent="0.25">
      <c r="A7" s="1"/>
      <c r="B7" s="25" t="s">
        <v>31</v>
      </c>
      <c r="C7" s="46" t="s">
        <v>32</v>
      </c>
      <c r="D7" s="46" t="s">
        <v>33</v>
      </c>
      <c r="E7" s="28" t="s">
        <v>34</v>
      </c>
      <c r="F7" s="29" t="s">
        <v>35</v>
      </c>
      <c r="G7" s="47" t="s">
        <v>36</v>
      </c>
      <c r="H7" s="48" t="s">
        <v>37</v>
      </c>
      <c r="I7" s="49" t="s">
        <v>25</v>
      </c>
      <c r="J7" s="49" t="s">
        <v>25</v>
      </c>
      <c r="K7" s="50" t="s">
        <v>26</v>
      </c>
      <c r="L7" s="32">
        <v>0</v>
      </c>
      <c r="M7" s="33">
        <v>0</v>
      </c>
      <c r="N7" s="33">
        <v>0</v>
      </c>
      <c r="O7" s="33">
        <v>0</v>
      </c>
      <c r="P7" s="34">
        <f>SUM(L7:O7)</f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 spans="1:26" x14ac:dyDescent="0.25">
      <c r="A8" s="1"/>
      <c r="B8" s="16"/>
      <c r="C8" s="51"/>
      <c r="D8" s="51"/>
      <c r="E8" s="52" t="s">
        <v>38</v>
      </c>
      <c r="F8" s="53" t="s">
        <v>39</v>
      </c>
      <c r="G8" s="51"/>
      <c r="H8" s="51"/>
      <c r="I8" s="51"/>
      <c r="J8" s="51"/>
      <c r="K8" s="54"/>
      <c r="L8" s="55"/>
      <c r="M8" s="51"/>
      <c r="N8" s="51"/>
      <c r="O8" s="51"/>
      <c r="P8" s="56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 spans="1:26" x14ac:dyDescent="0.25">
      <c r="A9" s="1"/>
      <c r="B9" s="16"/>
      <c r="C9" s="57" t="s">
        <v>40</v>
      </c>
      <c r="D9" s="57" t="s">
        <v>41</v>
      </c>
      <c r="E9" s="52" t="s">
        <v>42</v>
      </c>
      <c r="F9" s="53" t="s">
        <v>43</v>
      </c>
      <c r="G9" s="58" t="s">
        <v>44</v>
      </c>
      <c r="H9" s="59"/>
      <c r="I9" s="60" t="s">
        <v>25</v>
      </c>
      <c r="J9" s="60" t="s">
        <v>45</v>
      </c>
      <c r="K9" s="61" t="s">
        <v>46</v>
      </c>
      <c r="L9" s="62">
        <v>0</v>
      </c>
      <c r="M9" s="63">
        <v>20000</v>
      </c>
      <c r="N9" s="63">
        <v>20000</v>
      </c>
      <c r="O9" s="63">
        <v>10000</v>
      </c>
      <c r="P9" s="64">
        <f>SUM(L9:O9)</f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 spans="1:26" x14ac:dyDescent="0.25">
      <c r="A10" s="1"/>
      <c r="B10" s="16"/>
      <c r="C10" s="17"/>
      <c r="D10" s="17"/>
      <c r="E10" s="52" t="s">
        <v>47</v>
      </c>
      <c r="F10" s="53" t="s">
        <v>48</v>
      </c>
      <c r="G10" s="65" t="s">
        <v>49</v>
      </c>
      <c r="H10" s="59"/>
      <c r="I10" s="60" t="s">
        <v>50</v>
      </c>
      <c r="J10" s="60" t="s">
        <v>51</v>
      </c>
      <c r="K10" s="66"/>
      <c r="L10" s="16"/>
      <c r="M10" s="17"/>
      <c r="N10" s="17"/>
      <c r="O10" s="17"/>
      <c r="P10" s="1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 spans="1:26" x14ac:dyDescent="0.25">
      <c r="A11" s="1"/>
      <c r="B11" s="35"/>
      <c r="C11" s="36"/>
      <c r="D11" s="36"/>
      <c r="E11" s="38" t="s">
        <v>52</v>
      </c>
      <c r="F11" s="39" t="s">
        <v>53</v>
      </c>
      <c r="G11" s="67" t="s">
        <v>54</v>
      </c>
      <c r="H11" s="68"/>
      <c r="I11" s="69" t="s">
        <v>55</v>
      </c>
      <c r="J11" s="69" t="s">
        <v>56</v>
      </c>
      <c r="K11" s="40"/>
      <c r="L11" s="35"/>
      <c r="M11" s="36"/>
      <c r="N11" s="36"/>
      <c r="O11" s="36"/>
      <c r="P11" s="4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 spans="1:26" x14ac:dyDescent="0.25">
      <c r="A12" s="1"/>
      <c r="B12" s="70" t="s">
        <v>57</v>
      </c>
      <c r="C12" s="71"/>
      <c r="D12" s="71"/>
      <c r="E12" s="71"/>
      <c r="F12" s="71"/>
      <c r="G12" s="71"/>
      <c r="H12" s="71"/>
      <c r="I12" s="71"/>
      <c r="J12" s="71"/>
      <c r="K12" s="72"/>
      <c r="L12" s="73">
        <f t="shared" ref="L12:P12" si="1">SUM(L7:L11)</f>
      </c>
      <c r="M12" s="74">
        <f t="shared" si="1"/>
        <v>20000</v>
      </c>
      <c r="N12" s="74">
        <f t="shared" si="1"/>
        <v>20000</v>
      </c>
      <c r="O12" s="74">
        <f t="shared" si="1"/>
        <v>10000</v>
      </c>
      <c r="P12" s="75">
        <f t="shared" si="1"/>
        <v>50000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 spans="1:26" x14ac:dyDescent="0.25">
      <c r="A13" s="1"/>
      <c r="B13" s="76" t="s">
        <v>58</v>
      </c>
      <c r="C13" s="26" t="s">
        <v>59</v>
      </c>
      <c r="D13" s="26" t="s">
        <v>60</v>
      </c>
      <c r="E13" s="77" t="s">
        <v>61</v>
      </c>
      <c r="F13" s="78" t="s">
        <v>62</v>
      </c>
      <c r="G13" s="78" t="s">
        <v>63</v>
      </c>
      <c r="H13" s="78" t="s">
        <v>37</v>
      </c>
      <c r="I13" s="79" t="s">
        <v>45</v>
      </c>
      <c r="J13" s="79" t="s">
        <v>45</v>
      </c>
      <c r="K13" s="80" t="s">
        <v>64</v>
      </c>
      <c r="L13" s="81">
        <v>0</v>
      </c>
      <c r="M13" s="82"/>
      <c r="N13" s="82">
        <v>0</v>
      </c>
      <c r="O13" s="82">
        <v>0</v>
      </c>
      <c r="P13" s="83">
        <f t="shared" ref="P13:P17" si="2">SUM(L13:O13)</f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 spans="1:26" x14ac:dyDescent="0.25">
      <c r="A14" s="1"/>
      <c r="B14" s="16"/>
      <c r="C14" s="17"/>
      <c r="D14" s="17"/>
      <c r="E14" s="77" t="s">
        <v>65</v>
      </c>
      <c r="F14" s="53" t="s">
        <v>66</v>
      </c>
      <c r="G14" s="53" t="s">
        <v>67</v>
      </c>
      <c r="H14" s="53" t="s">
        <v>68</v>
      </c>
      <c r="I14" s="79" t="s">
        <v>45</v>
      </c>
      <c r="J14" s="79" t="s">
        <v>45</v>
      </c>
      <c r="K14" s="80" t="s">
        <v>69</v>
      </c>
      <c r="L14" s="81">
        <v>0</v>
      </c>
      <c r="M14" s="82"/>
      <c r="N14" s="82">
        <v>0</v>
      </c>
      <c r="O14" s="82">
        <v>0</v>
      </c>
      <c r="P14" s="83">
        <f t="shared" si="2"/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 spans="1:26" x14ac:dyDescent="0.25">
      <c r="A15" s="1"/>
      <c r="B15" s="16"/>
      <c r="C15" s="17"/>
      <c r="D15" s="17"/>
      <c r="E15" s="77" t="s">
        <v>70</v>
      </c>
      <c r="F15" s="53" t="s">
        <v>71</v>
      </c>
      <c r="G15" s="53" t="s">
        <v>72</v>
      </c>
      <c r="H15" s="53" t="s">
        <v>37</v>
      </c>
      <c r="I15" s="84" t="s">
        <v>45</v>
      </c>
      <c r="J15" s="84" t="s">
        <v>45</v>
      </c>
      <c r="K15" s="85" t="s">
        <v>64</v>
      </c>
      <c r="L15" s="86">
        <v>506664</v>
      </c>
      <c r="M15" s="87"/>
      <c r="N15" s="87"/>
      <c r="O15" s="87"/>
      <c r="P15" s="88">
        <f t="shared" si="2"/>
        <v>506664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 spans="1:26" x14ac:dyDescent="0.25">
      <c r="A16" s="1"/>
      <c r="B16" s="16"/>
      <c r="C16" s="17"/>
      <c r="D16" s="17"/>
      <c r="E16" s="77" t="s">
        <v>73</v>
      </c>
      <c r="F16" s="53" t="s">
        <v>74</v>
      </c>
      <c r="G16" s="89" t="s">
        <v>75</v>
      </c>
      <c r="H16" s="52" t="s">
        <v>76</v>
      </c>
      <c r="I16" s="90" t="s">
        <v>45</v>
      </c>
      <c r="J16" s="90" t="s">
        <v>45</v>
      </c>
      <c r="K16" s="91" t="s">
        <v>64</v>
      </c>
      <c r="L16" s="92">
        <v>402336</v>
      </c>
      <c r="M16" s="93"/>
      <c r="N16" s="93">
        <v>0</v>
      </c>
      <c r="O16" s="93">
        <v>0</v>
      </c>
      <c r="P16" s="88">
        <f t="shared" si="2"/>
        <v>402336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 spans="1:26" x14ac:dyDescent="0.25">
      <c r="A17" s="1"/>
      <c r="B17" s="16"/>
      <c r="C17" s="17"/>
      <c r="D17" s="17"/>
      <c r="E17" s="77" t="s">
        <v>77</v>
      </c>
      <c r="F17" s="53" t="s">
        <v>78</v>
      </c>
      <c r="G17" s="52" t="s">
        <v>79</v>
      </c>
      <c r="H17" s="94" t="s">
        <v>80</v>
      </c>
      <c r="I17" s="90" t="s">
        <v>45</v>
      </c>
      <c r="J17" s="90" t="s">
        <v>45</v>
      </c>
      <c r="K17" s="91" t="s">
        <v>64</v>
      </c>
      <c r="L17" s="92">
        <v>0</v>
      </c>
      <c r="M17" s="93"/>
      <c r="N17" s="93">
        <v>0</v>
      </c>
      <c r="O17" s="93">
        <v>0</v>
      </c>
      <c r="P17" s="88">
        <f t="shared" si="2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 spans="1:26" x14ac:dyDescent="0.25">
      <c r="A18" s="1"/>
      <c r="B18" s="16"/>
      <c r="C18" s="51"/>
      <c r="D18" s="51"/>
      <c r="E18" s="77" t="s">
        <v>81</v>
      </c>
      <c r="F18" s="53" t="s">
        <v>82</v>
      </c>
      <c r="G18" s="52" t="s">
        <v>83</v>
      </c>
      <c r="H18" s="94" t="s">
        <v>37</v>
      </c>
      <c r="I18" s="90" t="s">
        <v>45</v>
      </c>
      <c r="J18" s="90" t="s">
        <v>45</v>
      </c>
      <c r="K18" s="91" t="s">
        <v>64</v>
      </c>
      <c r="L18" s="92"/>
      <c r="M18" s="93"/>
      <c r="N18" s="93"/>
      <c r="O18" s="93"/>
      <c r="P18" s="8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 spans="1:26" x14ac:dyDescent="0.25">
      <c r="A19" s="1"/>
      <c r="B19" s="16"/>
      <c r="C19" s="95" t="s">
        <v>84</v>
      </c>
      <c r="D19" s="95" t="s">
        <v>85</v>
      </c>
      <c r="E19" s="52" t="s">
        <v>86</v>
      </c>
      <c r="F19" s="53" t="s">
        <v>87</v>
      </c>
      <c r="G19" s="52" t="s">
        <v>88</v>
      </c>
      <c r="H19" s="94" t="s">
        <v>37</v>
      </c>
      <c r="I19" s="96" t="s">
        <v>50</v>
      </c>
      <c r="J19" s="96" t="s">
        <v>50</v>
      </c>
      <c r="K19" s="97" t="s">
        <v>26</v>
      </c>
      <c r="L19" s="98">
        <v>5000</v>
      </c>
      <c r="M19" s="99">
        <v>0</v>
      </c>
      <c r="N19" s="99">
        <v>0</v>
      </c>
      <c r="O19" s="99">
        <v>0</v>
      </c>
      <c r="P19" s="100">
        <f>SUM(L19:O19)</f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 spans="1:26" x14ac:dyDescent="0.25">
      <c r="A20" s="1"/>
      <c r="B20" s="16"/>
      <c r="C20" s="17"/>
      <c r="D20" s="17"/>
      <c r="E20" s="52" t="s">
        <v>89</v>
      </c>
      <c r="F20" s="53" t="s">
        <v>90</v>
      </c>
      <c r="G20" s="52" t="s">
        <v>88</v>
      </c>
      <c r="H20" s="94" t="s">
        <v>91</v>
      </c>
      <c r="I20" s="17"/>
      <c r="J20" s="17"/>
      <c r="K20" s="66"/>
      <c r="L20" s="16"/>
      <c r="M20" s="17"/>
      <c r="N20" s="17"/>
      <c r="O20" s="17"/>
      <c r="P20" s="18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 spans="1:26" x14ac:dyDescent="0.25">
      <c r="A21" s="1"/>
      <c r="B21" s="16"/>
      <c r="C21" s="51"/>
      <c r="D21" s="51"/>
      <c r="E21" s="52" t="s">
        <v>92</v>
      </c>
      <c r="F21" s="53" t="s">
        <v>93</v>
      </c>
      <c r="G21" s="52" t="s">
        <v>94</v>
      </c>
      <c r="H21" s="94" t="s">
        <v>95</v>
      </c>
      <c r="I21" s="51"/>
      <c r="J21" s="51"/>
      <c r="K21" s="54"/>
      <c r="L21" s="55"/>
      <c r="M21" s="51"/>
      <c r="N21" s="51"/>
      <c r="O21" s="51"/>
      <c r="P21" s="56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 spans="1:26" x14ac:dyDescent="0.25">
      <c r="A22" s="1"/>
      <c r="B22" s="16"/>
      <c r="C22" s="95" t="s">
        <v>96</v>
      </c>
      <c r="D22" s="101" t="s">
        <v>97</v>
      </c>
      <c r="E22" s="52" t="s">
        <v>98</v>
      </c>
      <c r="F22" s="53" t="s">
        <v>99</v>
      </c>
      <c r="G22" s="57" t="s">
        <v>100</v>
      </c>
      <c r="H22" s="102" t="s">
        <v>37</v>
      </c>
      <c r="I22" s="103" t="s">
        <v>50</v>
      </c>
      <c r="J22" s="103" t="s">
        <v>56</v>
      </c>
      <c r="K22" s="104" t="s">
        <v>101</v>
      </c>
      <c r="L22" s="98">
        <v>5000</v>
      </c>
      <c r="M22" s="99">
        <v>0</v>
      </c>
      <c r="N22" s="99">
        <v>0</v>
      </c>
      <c r="O22" s="99">
        <v>0</v>
      </c>
      <c r="P22" s="100">
        <f>SUM(L22:O22)</f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 spans="1:26" x14ac:dyDescent="0.25">
      <c r="A23" s="1"/>
      <c r="B23" s="16"/>
      <c r="C23" s="17"/>
      <c r="D23" s="17"/>
      <c r="E23" s="52" t="s">
        <v>102</v>
      </c>
      <c r="F23" s="53" t="s">
        <v>103</v>
      </c>
      <c r="G23" s="17"/>
      <c r="H23" s="17"/>
      <c r="I23" s="17"/>
      <c r="J23" s="17"/>
      <c r="K23" s="66"/>
      <c r="L23" s="16"/>
      <c r="M23" s="17"/>
      <c r="N23" s="17"/>
      <c r="O23" s="17"/>
      <c r="P23" s="18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 spans="1:26" x14ac:dyDescent="0.25">
      <c r="A24" s="1"/>
      <c r="B24" s="55"/>
      <c r="C24" s="51"/>
      <c r="D24" s="51"/>
      <c r="E24" s="52" t="s">
        <v>104</v>
      </c>
      <c r="F24" s="95" t="s">
        <v>105</v>
      </c>
      <c r="G24" s="51"/>
      <c r="H24" s="51"/>
      <c r="I24" s="51"/>
      <c r="J24" s="51"/>
      <c r="K24" s="54"/>
      <c r="L24" s="55"/>
      <c r="M24" s="51"/>
      <c r="N24" s="51"/>
      <c r="O24" s="51"/>
      <c r="P24" s="18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 spans="1:26" x14ac:dyDescent="0.25">
      <c r="A25" s="1"/>
      <c r="B25" s="105" t="s">
        <v>106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7">
        <f t="shared" ref="L25:O25" si="3">L4+L7+L13+L15+L16+L18+L19+L22</f>
      </c>
      <c r="M25" s="108">
        <f t="shared" si="3"/>
        <v>0</v>
      </c>
      <c r="N25" s="108">
        <f t="shared" si="3"/>
        <v>0</v>
      </c>
      <c r="O25" s="108">
        <f t="shared" si="3"/>
        <v>0</v>
      </c>
      <c r="P25" s="109">
        <f>SUM(L25:O25)</f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 spans="1:26" x14ac:dyDescent="0.25">
      <c r="A26" s="1"/>
      <c r="B26" s="76" t="s">
        <v>107</v>
      </c>
      <c r="C26" s="110" t="s">
        <v>108</v>
      </c>
      <c r="D26" s="110" t="s">
        <v>109</v>
      </c>
      <c r="E26" s="77" t="s">
        <v>110</v>
      </c>
      <c r="F26" s="111" t="s">
        <v>111</v>
      </c>
      <c r="G26" s="78" t="s">
        <v>112</v>
      </c>
      <c r="H26" s="112" t="s">
        <v>113</v>
      </c>
      <c r="I26" s="113" t="s">
        <v>50</v>
      </c>
      <c r="J26" s="114" t="s">
        <v>56</v>
      </c>
      <c r="K26" s="115" t="s">
        <v>114</v>
      </c>
      <c r="L26" s="116">
        <v>5000</v>
      </c>
      <c r="M26" s="117">
        <v>0</v>
      </c>
      <c r="N26" s="117">
        <v>6000</v>
      </c>
      <c r="O26" s="117">
        <v>0</v>
      </c>
      <c r="P26" s="118">
        <f>SUM(L26:O28)</f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 spans="1:26" x14ac:dyDescent="0.25">
      <c r="A27" s="1"/>
      <c r="B27" s="16"/>
      <c r="C27" s="17"/>
      <c r="D27" s="17"/>
      <c r="E27" s="77" t="s">
        <v>115</v>
      </c>
      <c r="F27" s="52" t="s">
        <v>116</v>
      </c>
      <c r="G27" s="52" t="s">
        <v>117</v>
      </c>
      <c r="H27" s="119" t="s">
        <v>37</v>
      </c>
      <c r="I27" s="17"/>
      <c r="J27" s="120"/>
      <c r="K27" s="121"/>
      <c r="L27" s="122"/>
      <c r="M27" s="17"/>
      <c r="N27" s="17"/>
      <c r="O27" s="17"/>
      <c r="P27" s="123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 spans="1:26" x14ac:dyDescent="0.25">
      <c r="A28" s="1"/>
      <c r="B28" s="16"/>
      <c r="C28" s="51"/>
      <c r="D28" s="51"/>
      <c r="E28" s="77" t="s">
        <v>118</v>
      </c>
      <c r="F28" s="52" t="s">
        <v>119</v>
      </c>
      <c r="G28" s="52" t="s">
        <v>120</v>
      </c>
      <c r="H28" s="119" t="s">
        <v>121</v>
      </c>
      <c r="I28" s="51"/>
      <c r="J28" s="124"/>
      <c r="K28" s="125"/>
      <c r="L28" s="126"/>
      <c r="M28" s="51"/>
      <c r="N28" s="51"/>
      <c r="O28" s="51"/>
      <c r="P28" s="127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 spans="1:26" x14ac:dyDescent="0.25">
      <c r="A29" s="1"/>
      <c r="B29" s="16"/>
      <c r="C29" s="57" t="s">
        <v>122</v>
      </c>
      <c r="D29" s="57" t="s">
        <v>123</v>
      </c>
      <c r="E29" s="53" t="s">
        <v>124</v>
      </c>
      <c r="F29" s="52" t="s">
        <v>125</v>
      </c>
      <c r="G29" s="52" t="s">
        <v>126</v>
      </c>
      <c r="H29" s="119" t="s">
        <v>37</v>
      </c>
      <c r="I29" s="103" t="s">
        <v>50</v>
      </c>
      <c r="J29" s="128" t="s">
        <v>56</v>
      </c>
      <c r="K29" s="129" t="s">
        <v>114</v>
      </c>
      <c r="L29" s="130">
        <v>0</v>
      </c>
      <c r="M29" s="131">
        <v>0</v>
      </c>
      <c r="N29" s="131">
        <v>0</v>
      </c>
      <c r="O29" s="131">
        <v>0</v>
      </c>
      <c r="P29" s="132">
        <f>SUM(L29:O31)</f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 spans="1:26" x14ac:dyDescent="0.25">
      <c r="A30" s="1"/>
      <c r="B30" s="16"/>
      <c r="C30" s="17"/>
      <c r="D30" s="17"/>
      <c r="E30" s="53" t="s">
        <v>127</v>
      </c>
      <c r="F30" s="53" t="s">
        <v>128</v>
      </c>
      <c r="G30" s="53" t="s">
        <v>126</v>
      </c>
      <c r="H30" s="133" t="s">
        <v>37</v>
      </c>
      <c r="I30" s="17"/>
      <c r="J30" s="120"/>
      <c r="K30" s="121"/>
      <c r="L30" s="122"/>
      <c r="M30" s="17"/>
      <c r="N30" s="17"/>
      <c r="O30" s="17"/>
      <c r="P30" s="123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 spans="1:26" x14ac:dyDescent="0.25">
      <c r="A31" s="1"/>
      <c r="B31" s="16"/>
      <c r="C31" s="51"/>
      <c r="D31" s="51"/>
      <c r="E31" s="53" t="s">
        <v>129</v>
      </c>
      <c r="F31" s="53" t="s">
        <v>130</v>
      </c>
      <c r="G31" s="53" t="s">
        <v>131</v>
      </c>
      <c r="H31" s="53" t="s">
        <v>132</v>
      </c>
      <c r="I31" s="51"/>
      <c r="J31" s="124"/>
      <c r="K31" s="125"/>
      <c r="L31" s="122"/>
      <c r="M31" s="17"/>
      <c r="N31" s="17"/>
      <c r="O31" s="17"/>
      <c r="P31" s="12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 spans="1:26" x14ac:dyDescent="0.25">
      <c r="A32" s="1"/>
      <c r="B32" s="16"/>
      <c r="C32" s="95" t="s">
        <v>133</v>
      </c>
      <c r="D32" s="95" t="s">
        <v>134</v>
      </c>
      <c r="E32" s="52" t="s">
        <v>135</v>
      </c>
      <c r="F32" s="53" t="s">
        <v>136</v>
      </c>
      <c r="G32" s="53" t="s">
        <v>137</v>
      </c>
      <c r="H32" s="53" t="s">
        <v>121</v>
      </c>
      <c r="I32" s="103" t="s">
        <v>50</v>
      </c>
      <c r="J32" s="128" t="s">
        <v>56</v>
      </c>
      <c r="K32" s="129" t="s">
        <v>114</v>
      </c>
      <c r="L32" s="134">
        <v>0</v>
      </c>
      <c r="M32" s="135">
        <v>5000</v>
      </c>
      <c r="N32" s="135">
        <v>5000</v>
      </c>
      <c r="O32" s="135">
        <v>5000</v>
      </c>
      <c r="P32" s="100">
        <f>SUM(L32:O32)</f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 spans="1:26" x14ac:dyDescent="0.25">
      <c r="A33" s="1"/>
      <c r="B33" s="16"/>
      <c r="C33" s="17"/>
      <c r="D33" s="17"/>
      <c r="E33" s="52" t="s">
        <v>138</v>
      </c>
      <c r="F33" s="53" t="s">
        <v>139</v>
      </c>
      <c r="G33" s="53" t="s">
        <v>140</v>
      </c>
      <c r="H33" s="53" t="s">
        <v>141</v>
      </c>
      <c r="I33" s="17"/>
      <c r="J33" s="120"/>
      <c r="K33" s="121"/>
      <c r="L33" s="16"/>
      <c r="M33" s="17"/>
      <c r="N33" s="17"/>
      <c r="O33" s="17"/>
      <c r="P33" s="18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 spans="1:26" x14ac:dyDescent="0.25">
      <c r="A34" s="1"/>
      <c r="B34" s="16"/>
      <c r="C34" s="17"/>
      <c r="D34" s="17"/>
      <c r="E34" s="52" t="s">
        <v>142</v>
      </c>
      <c r="F34" s="95" t="s">
        <v>143</v>
      </c>
      <c r="G34" s="95" t="s">
        <v>144</v>
      </c>
      <c r="H34" s="95" t="s">
        <v>37</v>
      </c>
      <c r="I34" s="17"/>
      <c r="J34" s="120"/>
      <c r="K34" s="121"/>
      <c r="L34" s="35"/>
      <c r="M34" s="36"/>
      <c r="N34" s="36"/>
      <c r="O34" s="36"/>
      <c r="P34" s="4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 spans="1:26" x14ac:dyDescent="0.25">
      <c r="A35" s="1"/>
      <c r="B35" s="105" t="s">
        <v>145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7">
        <f t="shared" ref="L35:P35" si="4">SUM(L26:L34)</f>
      </c>
      <c r="M35" s="108">
        <f t="shared" si="4"/>
        <v>5000</v>
      </c>
      <c r="N35" s="108">
        <f t="shared" si="4"/>
        <v>11000</v>
      </c>
      <c r="O35" s="108">
        <f t="shared" si="4"/>
        <v>5000</v>
      </c>
      <c r="P35" s="109">
        <f t="shared" si="4"/>
        <v>26000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 spans="1:26" x14ac:dyDescent="0.25">
      <c r="A36" s="1"/>
      <c r="B36" s="136" t="s">
        <v>146</v>
      </c>
      <c r="C36" s="137" t="s">
        <v>147</v>
      </c>
      <c r="D36" s="137" t="s">
        <v>148</v>
      </c>
      <c r="E36" s="138" t="s">
        <v>149</v>
      </c>
      <c r="F36" s="137" t="s">
        <v>150</v>
      </c>
      <c r="G36" s="137" t="s">
        <v>151</v>
      </c>
      <c r="H36" s="137" t="s">
        <v>37</v>
      </c>
      <c r="I36" s="139" t="s">
        <v>152</v>
      </c>
      <c r="J36" s="139" t="s">
        <v>56</v>
      </c>
      <c r="K36" s="140" t="s">
        <v>153</v>
      </c>
      <c r="L36" s="141">
        <v>0</v>
      </c>
      <c r="M36" s="142">
        <v>0</v>
      </c>
      <c r="N36" s="142">
        <v>0</v>
      </c>
      <c r="O36" s="142">
        <v>5000</v>
      </c>
      <c r="P36" s="109">
        <f>SUM(L36:O36)</f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 spans="1:26" x14ac:dyDescent="0.25">
      <c r="A37" s="1"/>
      <c r="B37" s="143" t="s">
        <v>154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44">
        <f t="shared" ref="L37:P37" si="5">SUM(L36)</f>
      </c>
      <c r="M37" s="145">
        <f t="shared" si="5"/>
        <v>0</v>
      </c>
      <c r="N37" s="145">
        <f t="shared" si="5"/>
        <v>0</v>
      </c>
      <c r="O37" s="145">
        <f t="shared" si="5"/>
        <v>5000</v>
      </c>
      <c r="P37" s="146">
        <f t="shared" si="5"/>
        <v>5000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 spans="1:26" x14ac:dyDescent="0.25">
      <c r="A38" s="1"/>
      <c r="B38" s="147" t="s">
        <v>155</v>
      </c>
      <c r="C38" s="71"/>
      <c r="D38" s="71"/>
      <c r="E38" s="71"/>
      <c r="F38" s="71"/>
      <c r="G38" s="71"/>
      <c r="H38" s="71"/>
      <c r="I38" s="71"/>
      <c r="J38" s="71"/>
      <c r="K38" s="71"/>
      <c r="L38" s="148">
        <f t="shared" ref="L38:P38" si="6">L6+L12+L25+L35+L37</f>
      </c>
      <c r="M38" s="148">
        <f t="shared" si="6"/>
        <v>25000</v>
      </c>
      <c r="N38" s="148">
        <f t="shared" si="6"/>
        <v>31000</v>
      </c>
      <c r="O38" s="148">
        <f t="shared" si="6"/>
        <v>20000</v>
      </c>
      <c r="P38" s="149">
        <f t="shared" si="6"/>
        <v>1000000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 spans="1:26" x14ac:dyDescent="0.25">
      <c r="A39" s="1"/>
      <c r="B39" s="150"/>
      <c r="C39" s="151"/>
      <c r="D39" s="152"/>
      <c r="E39" s="153"/>
      <c r="F39" s="1"/>
      <c r="G39" s="1"/>
      <c r="H39" s="154"/>
      <c r="I39" s="155"/>
      <c r="J39" s="155"/>
      <c r="K39" s="156"/>
      <c r="L39" s="1"/>
      <c r="M39" s="154"/>
      <c r="N39" s="1"/>
      <c r="O39" s="1"/>
      <c r="P39" s="154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 spans="1:26" x14ac:dyDescent="0.25">
      <c r="A40" s="1"/>
      <c r="B40" s="157"/>
      <c r="C40" s="158" t="s">
        <v>156</v>
      </c>
      <c r="D40" s="159"/>
      <c r="E40" s="153"/>
      <c r="F40" s="1"/>
      <c r="G40" s="1"/>
      <c r="H40" s="154"/>
      <c r="I40" s="155"/>
      <c r="J40" s="155"/>
      <c r="K40" s="156"/>
      <c r="L40" s="1"/>
      <c r="M40" s="154"/>
      <c r="N40" s="1"/>
      <c r="O40" s="1"/>
      <c r="P40" s="154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 spans="1:26" x14ac:dyDescent="0.25">
      <c r="A41" s="1"/>
      <c r="B41" s="150"/>
      <c r="C41" s="160" t="s">
        <v>157</v>
      </c>
      <c r="D41" s="161">
        <v>300000</v>
      </c>
      <c r="E41" s="153"/>
      <c r="F41" s="1"/>
      <c r="G41" s="1"/>
      <c r="H41" s="154"/>
      <c r="I41" s="155"/>
      <c r="J41" s="155"/>
      <c r="K41" s="156"/>
      <c r="L41" s="1"/>
      <c r="M41" s="154"/>
      <c r="N41" s="1"/>
      <c r="O41" s="1"/>
      <c r="P41" s="15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 spans="1:26" x14ac:dyDescent="0.25">
      <c r="A42" s="1"/>
      <c r="B42" s="150"/>
      <c r="C42" s="160" t="s">
        <v>158</v>
      </c>
      <c r="D42" s="161">
        <f>P38*50%</f>
      </c>
      <c r="E42" s="153"/>
      <c r="F42" s="1"/>
      <c r="G42" s="1"/>
      <c r="H42" s="154"/>
      <c r="I42" s="155"/>
      <c r="J42" s="155"/>
      <c r="K42" s="156"/>
      <c r="L42" s="1"/>
      <c r="M42" s="154"/>
      <c r="N42" s="1"/>
      <c r="O42" s="1"/>
      <c r="P42" s="154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 spans="1:26" x14ac:dyDescent="0.25">
      <c r="A43" s="1"/>
      <c r="B43" s="150"/>
      <c r="C43" s="160" t="s">
        <v>159</v>
      </c>
      <c r="D43" s="161">
        <v>200000</v>
      </c>
      <c r="E43" s="153"/>
      <c r="F43" s="1"/>
      <c r="G43" s="1"/>
      <c r="H43" s="154"/>
      <c r="I43" s="155"/>
      <c r="J43" s="155"/>
      <c r="K43" s="156"/>
      <c r="L43" s="1"/>
      <c r="M43" s="154"/>
      <c r="N43" s="1"/>
      <c r="O43" s="1"/>
      <c r="P43" s="154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 spans="1:26" x14ac:dyDescent="0.25">
      <c r="A44" s="1"/>
      <c r="B44" s="150"/>
      <c r="C44" s="154"/>
      <c r="D44" s="162">
        <f>SUM(D41:D43)</f>
      </c>
      <c r="E44" s="153"/>
      <c r="F44" s="154"/>
      <c r="G44" s="154"/>
      <c r="H44" s="154"/>
      <c r="I44" s="155"/>
      <c r="J44" s="155"/>
      <c r="K44" s="155"/>
      <c r="L44" s="154"/>
      <c r="M44" s="154"/>
      <c r="N44" s="154"/>
      <c r="O44" s="154"/>
      <c r="P44" s="154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 spans="1:26" x14ac:dyDescent="0.25">
      <c r="A45" s="1"/>
      <c r="B45" s="163"/>
      <c r="C45" s="154"/>
      <c r="D45" s="164"/>
      <c r="E45" s="165"/>
      <c r="F45" s="166"/>
      <c r="G45" s="166"/>
      <c r="H45" s="166"/>
      <c r="I45" s="167"/>
      <c r="J45" s="167"/>
      <c r="K45" s="167"/>
      <c r="L45" s="166"/>
      <c r="M45" s="166"/>
      <c r="N45" s="166"/>
      <c r="O45" s="166"/>
      <c r="P45" s="166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 spans="1:26" x14ac:dyDescent="0.25">
      <c r="A46" s="1"/>
      <c r="B46" s="168"/>
      <c r="C46" s="1"/>
      <c r="D46" s="1"/>
      <c r="E46" s="1"/>
      <c r="F46" s="1"/>
      <c r="G46" s="1"/>
      <c r="H46" s="1"/>
      <c r="I46" s="156"/>
      <c r="J46" s="156"/>
      <c r="K46" s="15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 spans="1:26" x14ac:dyDescent="0.25">
      <c r="A47" s="1"/>
      <c r="B47" s="168"/>
      <c r="C47" s="1"/>
      <c r="D47" s="1"/>
      <c r="E47" s="1"/>
      <c r="F47" s="1"/>
      <c r="G47" s="1"/>
      <c r="H47" s="1"/>
      <c r="I47" s="156"/>
      <c r="J47" s="156"/>
      <c r="K47" s="15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 spans="1:26" x14ac:dyDescent="0.25">
      <c r="A48" s="1"/>
      <c r="B48" s="168"/>
      <c r="C48" s="1"/>
      <c r="D48" s="1"/>
      <c r="E48" s="1"/>
      <c r="F48" s="1"/>
      <c r="G48" s="1"/>
      <c r="H48" s="1"/>
      <c r="I48" s="156"/>
      <c r="J48" s="156"/>
      <c r="K48" s="15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 spans="1:26" x14ac:dyDescent="0.25">
      <c r="A49" s="1"/>
      <c r="B49" s="168"/>
      <c r="C49" s="1"/>
      <c r="D49" s="1"/>
      <c r="E49" s="1"/>
      <c r="F49" s="1"/>
      <c r="G49" s="1"/>
      <c r="H49" s="1"/>
      <c r="I49" s="156"/>
      <c r="J49" s="156"/>
      <c r="K49" s="15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 spans="1:26" x14ac:dyDescent="0.25">
      <c r="A50" s="1"/>
      <c r="B50" s="168"/>
      <c r="C50" s="1"/>
      <c r="D50" s="1"/>
      <c r="E50" s="1"/>
      <c r="F50" s="1"/>
      <c r="G50" s="1"/>
      <c r="H50" s="1"/>
      <c r="I50" s="156"/>
      <c r="J50" s="156"/>
      <c r="K50" s="15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 spans="1:26" x14ac:dyDescent="0.25">
      <c r="A51" s="1"/>
      <c r="B51" s="168"/>
      <c r="C51" s="1"/>
      <c r="D51" s="1"/>
      <c r="E51" s="1"/>
      <c r="F51" s="1"/>
      <c r="G51" s="1"/>
      <c r="H51" s="1"/>
      <c r="I51" s="156"/>
      <c r="J51" s="156"/>
      <c r="K51" s="15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 spans="1:26" x14ac:dyDescent="0.25">
      <c r="A52" s="1"/>
      <c r="B52" s="168"/>
      <c r="C52" s="1"/>
      <c r="D52" s="1"/>
      <c r="E52" s="1"/>
      <c r="F52" s="1"/>
      <c r="G52" s="1"/>
      <c r="H52" s="1"/>
      <c r="I52" s="156"/>
      <c r="J52" s="156"/>
      <c r="K52" s="15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 spans="1:26" x14ac:dyDescent="0.25">
      <c r="A53" s="1"/>
      <c r="B53" s="168"/>
      <c r="C53" s="1"/>
      <c r="D53" s="1"/>
      <c r="E53" s="1"/>
      <c r="F53" s="1"/>
      <c r="G53" s="1"/>
      <c r="H53" s="1"/>
      <c r="I53" s="156"/>
      <c r="J53" s="156"/>
      <c r="K53" s="15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 spans="1:26" x14ac:dyDescent="0.25">
      <c r="A54" s="1"/>
      <c r="B54" s="168"/>
      <c r="C54" s="1"/>
      <c r="D54" s="1"/>
      <c r="E54" s="1"/>
      <c r="F54" s="1"/>
      <c r="G54" s="1"/>
      <c r="H54" s="1"/>
      <c r="I54" s="156"/>
      <c r="J54" s="156"/>
      <c r="K54" s="15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 spans="1:26" x14ac:dyDescent="0.25">
      <c r="A55" s="1"/>
      <c r="B55" s="168"/>
      <c r="C55" s="1"/>
      <c r="D55" s="1"/>
      <c r="E55" s="1"/>
      <c r="F55" s="1"/>
      <c r="G55" s="1"/>
      <c r="H55" s="1"/>
      <c r="I55" s="156"/>
      <c r="J55" s="156"/>
      <c r="K55" s="15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 spans="1:26" x14ac:dyDescent="0.25">
      <c r="A56" s="1"/>
      <c r="B56" s="168"/>
      <c r="C56" s="1"/>
      <c r="D56" s="1"/>
      <c r="E56" s="1"/>
      <c r="F56" s="1"/>
      <c r="G56" s="1"/>
      <c r="H56" s="1"/>
      <c r="I56" s="156"/>
      <c r="J56" s="156"/>
      <c r="K56" s="15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 spans="1:26" x14ac:dyDescent="0.25">
      <c r="A57" s="1"/>
      <c r="B57" s="168"/>
      <c r="C57" s="1"/>
      <c r="D57" s="1"/>
      <c r="E57" s="1"/>
      <c r="F57" s="1"/>
      <c r="G57" s="1"/>
      <c r="H57" s="1"/>
      <c r="I57" s="156"/>
      <c r="J57" s="156"/>
      <c r="K57" s="15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 spans="1:26" x14ac:dyDescent="0.25">
      <c r="A58" s="1"/>
      <c r="B58" s="168"/>
      <c r="C58" s="1"/>
      <c r="D58" s="1"/>
      <c r="E58" s="1"/>
      <c r="F58" s="1"/>
      <c r="G58" s="1"/>
      <c r="H58" s="1"/>
      <c r="I58" s="156"/>
      <c r="J58" s="156"/>
      <c r="K58" s="15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 spans="1:26" x14ac:dyDescent="0.25">
      <c r="A59" s="1"/>
      <c r="B59" s="168"/>
      <c r="C59" s="1"/>
      <c r="D59" s="1"/>
      <c r="E59" s="1"/>
      <c r="F59" s="1"/>
      <c r="G59" s="1"/>
      <c r="H59" s="1"/>
      <c r="I59" s="156"/>
      <c r="J59" s="156"/>
      <c r="K59" s="15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 spans="1:26" x14ac:dyDescent="0.25">
      <c r="A60" s="1"/>
      <c r="B60" s="168"/>
      <c r="C60" s="1"/>
      <c r="D60" s="1"/>
      <c r="E60" s="1"/>
      <c r="F60" s="1"/>
      <c r="G60" s="1"/>
      <c r="H60" s="1"/>
      <c r="I60" s="156"/>
      <c r="J60" s="156"/>
      <c r="K60" s="15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 spans="1:26" x14ac:dyDescent="0.25">
      <c r="A61" s="1"/>
      <c r="B61" s="168"/>
      <c r="C61" s="1"/>
      <c r="D61" s="1"/>
      <c r="E61" s="1"/>
      <c r="F61" s="1"/>
      <c r="G61" s="1"/>
      <c r="H61" s="1"/>
      <c r="I61" s="156"/>
      <c r="J61" s="156"/>
      <c r="K61" s="15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 spans="1:26" x14ac:dyDescent="0.25">
      <c r="A62" s="1"/>
      <c r="B62" s="168"/>
      <c r="C62" s="1"/>
      <c r="D62" s="1"/>
      <c r="E62" s="1"/>
      <c r="F62" s="1"/>
      <c r="G62" s="1"/>
      <c r="H62" s="1"/>
      <c r="I62" s="156"/>
      <c r="J62" s="156"/>
      <c r="K62" s="15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 spans="1:26" x14ac:dyDescent="0.25">
      <c r="A63" s="1"/>
      <c r="B63" s="168"/>
      <c r="C63" s="1"/>
      <c r="D63" s="1"/>
      <c r="E63" s="1"/>
      <c r="F63" s="1"/>
      <c r="G63" s="1"/>
      <c r="H63" s="1"/>
      <c r="I63" s="156"/>
      <c r="J63" s="156"/>
      <c r="K63" s="15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 spans="1:26" x14ac:dyDescent="0.25">
      <c r="A64" s="1"/>
      <c r="B64" s="168"/>
      <c r="C64" s="1"/>
      <c r="D64" s="1"/>
      <c r="E64" s="1"/>
      <c r="F64" s="1"/>
      <c r="G64" s="1"/>
      <c r="H64" s="1"/>
      <c r="I64" s="156"/>
      <c r="J64" s="156"/>
      <c r="K64" s="156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 spans="1:26" x14ac:dyDescent="0.25">
      <c r="A65" s="1"/>
      <c r="B65" s="168"/>
      <c r="C65" s="1"/>
      <c r="D65" s="1"/>
      <c r="E65" s="1"/>
      <c r="F65" s="1"/>
      <c r="G65" s="1"/>
      <c r="H65" s="1"/>
      <c r="I65" s="156"/>
      <c r="J65" s="156"/>
      <c r="K65" s="15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 spans="1:26" x14ac:dyDescent="0.25">
      <c r="A66" s="1"/>
      <c r="B66" s="168"/>
      <c r="C66" s="1"/>
      <c r="D66" s="1"/>
      <c r="E66" s="1"/>
      <c r="F66" s="1"/>
      <c r="G66" s="1"/>
      <c r="H66" s="1"/>
      <c r="I66" s="156"/>
      <c r="J66" s="156"/>
      <c r="K66" s="15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 spans="1:26" x14ac:dyDescent="0.25">
      <c r="A67" s="1"/>
      <c r="B67" s="168"/>
      <c r="C67" s="1"/>
      <c r="D67" s="1"/>
      <c r="E67" s="1"/>
      <c r="F67" s="1"/>
      <c r="G67" s="1"/>
      <c r="H67" s="1"/>
      <c r="I67" s="156"/>
      <c r="J67" s="156"/>
      <c r="K67" s="15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 spans="1:26" x14ac:dyDescent="0.25">
      <c r="A68" s="1"/>
      <c r="B68" s="168"/>
      <c r="C68" s="1"/>
      <c r="D68" s="1"/>
      <c r="E68" s="1"/>
      <c r="F68" s="1"/>
      <c r="G68" s="1"/>
      <c r="H68" s="1"/>
      <c r="I68" s="156"/>
      <c r="J68" s="156"/>
      <c r="K68" s="156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 spans="1:26" x14ac:dyDescent="0.25">
      <c r="A69" s="1"/>
      <c r="B69" s="168"/>
      <c r="C69" s="1"/>
      <c r="D69" s="1"/>
      <c r="E69" s="1"/>
      <c r="F69" s="1"/>
      <c r="G69" s="1"/>
      <c r="H69" s="1"/>
      <c r="I69" s="156"/>
      <c r="J69" s="156"/>
      <c r="K69" s="15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 spans="1:26" x14ac:dyDescent="0.25">
      <c r="A70" s="1"/>
      <c r="B70" s="168"/>
      <c r="C70" s="1"/>
      <c r="D70" s="1"/>
      <c r="E70" s="1"/>
      <c r="F70" s="1"/>
      <c r="G70" s="1"/>
      <c r="H70" s="1"/>
      <c r="I70" s="156"/>
      <c r="J70" s="156"/>
      <c r="K70" s="15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 spans="1:26" x14ac:dyDescent="0.25">
      <c r="A71" s="1"/>
      <c r="B71" s="168"/>
      <c r="C71" s="1"/>
      <c r="D71" s="1"/>
      <c r="E71" s="1"/>
      <c r="F71" s="1"/>
      <c r="G71" s="1"/>
      <c r="H71" s="1"/>
      <c r="I71" s="156"/>
      <c r="J71" s="156"/>
      <c r="K71" s="15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 spans="1:26" x14ac:dyDescent="0.25">
      <c r="A72" s="1"/>
      <c r="B72" s="168"/>
      <c r="C72" s="1"/>
      <c r="D72" s="1"/>
      <c r="E72" s="1"/>
      <c r="F72" s="1"/>
      <c r="G72" s="1"/>
      <c r="H72" s="1"/>
      <c r="I72" s="156"/>
      <c r="J72" s="156"/>
      <c r="K72" s="15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 spans="1:26" x14ac:dyDescent="0.25">
      <c r="A73" s="1"/>
      <c r="B73" s="168"/>
      <c r="C73" s="1"/>
      <c r="D73" s="1"/>
      <c r="E73" s="1"/>
      <c r="F73" s="1"/>
      <c r="G73" s="1"/>
      <c r="H73" s="1"/>
      <c r="I73" s="156"/>
      <c r="J73" s="156"/>
      <c r="K73" s="156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 spans="1:26" x14ac:dyDescent="0.25">
      <c r="A74" s="1"/>
      <c r="B74" s="168"/>
      <c r="C74" s="1"/>
      <c r="D74" s="1"/>
      <c r="E74" s="1"/>
      <c r="F74" s="1"/>
      <c r="G74" s="1"/>
      <c r="H74" s="1"/>
      <c r="I74" s="156"/>
      <c r="J74" s="156"/>
      <c r="K74" s="15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 spans="1:26" x14ac:dyDescent="0.25">
      <c r="A75" s="1"/>
      <c r="B75" s="168"/>
      <c r="C75" s="1"/>
      <c r="D75" s="1"/>
      <c r="E75" s="1"/>
      <c r="F75" s="1"/>
      <c r="G75" s="1"/>
      <c r="H75" s="1"/>
      <c r="I75" s="156"/>
      <c r="J75" s="156"/>
      <c r="K75" s="15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 spans="1:26" x14ac:dyDescent="0.25">
      <c r="A76" s="1"/>
      <c r="B76" s="168"/>
      <c r="C76" s="1"/>
      <c r="D76" s="1"/>
      <c r="E76" s="1"/>
      <c r="F76" s="1"/>
      <c r="G76" s="1"/>
      <c r="H76" s="1"/>
      <c r="I76" s="156"/>
      <c r="J76" s="156"/>
      <c r="K76" s="15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 spans="1:26" x14ac:dyDescent="0.25">
      <c r="A77" s="1"/>
      <c r="B77" s="168"/>
      <c r="C77" s="1"/>
      <c r="D77" s="1"/>
      <c r="E77" s="1"/>
      <c r="F77" s="1"/>
      <c r="G77" s="1"/>
      <c r="H77" s="1"/>
      <c r="I77" s="156"/>
      <c r="J77" s="156"/>
      <c r="K77" s="156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 spans="1:26" x14ac:dyDescent="0.25">
      <c r="A78" s="1"/>
      <c r="B78" s="168"/>
      <c r="C78" s="1"/>
      <c r="D78" s="1"/>
      <c r="E78" s="1"/>
      <c r="F78" s="1"/>
      <c r="G78" s="1"/>
      <c r="H78" s="1"/>
      <c r="I78" s="156"/>
      <c r="J78" s="156"/>
      <c r="K78" s="15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 spans="1:26" x14ac:dyDescent="0.25">
      <c r="A79" s="1"/>
      <c r="B79" s="168"/>
      <c r="C79" s="1"/>
      <c r="D79" s="1"/>
      <c r="E79" s="1"/>
      <c r="F79" s="1"/>
      <c r="G79" s="1"/>
      <c r="H79" s="1"/>
      <c r="I79" s="156"/>
      <c r="J79" s="156"/>
      <c r="K79" s="15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 spans="1:26" x14ac:dyDescent="0.25">
      <c r="A80" s="1"/>
      <c r="B80" s="168"/>
      <c r="C80" s="1"/>
      <c r="D80" s="1"/>
      <c r="E80" s="1"/>
      <c r="F80" s="1"/>
      <c r="G80" s="1"/>
      <c r="H80" s="1"/>
      <c r="I80" s="156"/>
      <c r="J80" s="156"/>
      <c r="K80" s="15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 spans="1:26" x14ac:dyDescent="0.25">
      <c r="A81" s="1"/>
      <c r="B81" s="168"/>
      <c r="C81" s="1"/>
      <c r="D81" s="1"/>
      <c r="E81" s="1"/>
      <c r="F81" s="1"/>
      <c r="G81" s="1"/>
      <c r="H81" s="1"/>
      <c r="I81" s="156"/>
      <c r="J81" s="156"/>
      <c r="K81" s="15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 spans="1:26" x14ac:dyDescent="0.25">
      <c r="A82" s="1"/>
      <c r="B82" s="168"/>
      <c r="C82" s="1"/>
      <c r="D82" s="1"/>
      <c r="E82" s="1"/>
      <c r="F82" s="1"/>
      <c r="G82" s="1"/>
      <c r="H82" s="1"/>
      <c r="I82" s="156"/>
      <c r="J82" s="156"/>
      <c r="K82" s="15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 spans="1:26" x14ac:dyDescent="0.25">
      <c r="A83" s="1"/>
      <c r="B83" s="168"/>
      <c r="C83" s="1"/>
      <c r="D83" s="1"/>
      <c r="E83" s="1"/>
      <c r="F83" s="1"/>
      <c r="G83" s="1"/>
      <c r="H83" s="1"/>
      <c r="I83" s="156"/>
      <c r="J83" s="156"/>
      <c r="K83" s="156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 spans="1:26" x14ac:dyDescent="0.25">
      <c r="A84" s="1"/>
      <c r="B84" s="168"/>
      <c r="C84" s="1"/>
      <c r="D84" s="1"/>
      <c r="E84" s="1"/>
      <c r="F84" s="1"/>
      <c r="G84" s="1"/>
      <c r="H84" s="1"/>
      <c r="I84" s="156"/>
      <c r="J84" s="156"/>
      <c r="K84" s="15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 spans="1:26" x14ac:dyDescent="0.25">
      <c r="A85" s="1"/>
      <c r="B85" s="168"/>
      <c r="C85" s="1"/>
      <c r="D85" s="1"/>
      <c r="E85" s="1"/>
      <c r="F85" s="1"/>
      <c r="G85" s="1"/>
      <c r="H85" s="1"/>
      <c r="I85" s="156"/>
      <c r="J85" s="156"/>
      <c r="K85" s="15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 spans="1:26" x14ac:dyDescent="0.25">
      <c r="A86" s="1"/>
      <c r="B86" s="168"/>
      <c r="C86" s="1"/>
      <c r="D86" s="1"/>
      <c r="E86" s="1"/>
      <c r="F86" s="1"/>
      <c r="G86" s="1"/>
      <c r="H86" s="1"/>
      <c r="I86" s="156"/>
      <c r="J86" s="156"/>
      <c r="K86" s="15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 spans="1:26" x14ac:dyDescent="0.25">
      <c r="A87" s="1"/>
      <c r="B87" s="168"/>
      <c r="C87" s="1"/>
      <c r="D87" s="1"/>
      <c r="E87" s="1"/>
      <c r="F87" s="1"/>
      <c r="G87" s="1"/>
      <c r="H87" s="1"/>
      <c r="I87" s="156"/>
      <c r="J87" s="156"/>
      <c r="K87" s="156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 spans="1:26" x14ac:dyDescent="0.25">
      <c r="A88" s="1"/>
      <c r="B88" s="168"/>
      <c r="C88" s="1"/>
      <c r="D88" s="1"/>
      <c r="E88" s="1"/>
      <c r="F88" s="1"/>
      <c r="G88" s="1"/>
      <c r="H88" s="1"/>
      <c r="I88" s="156"/>
      <c r="J88" s="156"/>
      <c r="K88" s="156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 spans="1:26" x14ac:dyDescent="0.25">
      <c r="A89" s="1"/>
      <c r="B89" s="168"/>
      <c r="C89" s="1"/>
      <c r="D89" s="1"/>
      <c r="E89" s="1"/>
      <c r="F89" s="1"/>
      <c r="G89" s="1"/>
      <c r="H89" s="1"/>
      <c r="I89" s="156"/>
      <c r="J89" s="156"/>
      <c r="K89" s="156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 spans="1:26" x14ac:dyDescent="0.25">
      <c r="A90" s="1"/>
      <c r="B90" s="168"/>
      <c r="C90" s="1"/>
      <c r="D90" s="1"/>
      <c r="E90" s="1"/>
      <c r="F90" s="1"/>
      <c r="G90" s="1"/>
      <c r="H90" s="1"/>
      <c r="I90" s="156"/>
      <c r="J90" s="156"/>
      <c r="K90" s="156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 spans="1:26" x14ac:dyDescent="0.25">
      <c r="A91" s="1"/>
      <c r="B91" s="168"/>
      <c r="C91" s="1"/>
      <c r="D91" s="1"/>
      <c r="E91" s="1"/>
      <c r="F91" s="1"/>
      <c r="G91" s="1"/>
      <c r="H91" s="1"/>
      <c r="I91" s="156"/>
      <c r="J91" s="156"/>
      <c r="K91" s="15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 spans="1:26" x14ac:dyDescent="0.25">
      <c r="A92" s="1"/>
      <c r="B92" s="168"/>
      <c r="C92" s="1"/>
      <c r="D92" s="1"/>
      <c r="E92" s="1"/>
      <c r="F92" s="1"/>
      <c r="G92" s="1"/>
      <c r="H92" s="1"/>
      <c r="I92" s="156"/>
      <c r="J92" s="156"/>
      <c r="K92" s="156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 spans="1:26" x14ac:dyDescent="0.25">
      <c r="A93" s="1"/>
      <c r="B93" s="168"/>
      <c r="C93" s="1"/>
      <c r="D93" s="1"/>
      <c r="E93" s="1"/>
      <c r="F93" s="1"/>
      <c r="G93" s="1"/>
      <c r="H93" s="1"/>
      <c r="I93" s="156"/>
      <c r="J93" s="156"/>
      <c r="K93" s="156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 spans="1:26" x14ac:dyDescent="0.25">
      <c r="A94" s="1"/>
      <c r="B94" s="168"/>
      <c r="C94" s="1"/>
      <c r="D94" s="1"/>
      <c r="E94" s="1"/>
      <c r="F94" s="1"/>
      <c r="G94" s="1"/>
      <c r="H94" s="1"/>
      <c r="I94" s="156"/>
      <c r="J94" s="156"/>
      <c r="K94" s="156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 spans="1:26" x14ac:dyDescent="0.25">
      <c r="A95" s="1"/>
      <c r="B95" s="168"/>
      <c r="C95" s="1"/>
      <c r="D95" s="1"/>
      <c r="E95" s="1"/>
      <c r="F95" s="1"/>
      <c r="G95" s="1"/>
      <c r="H95" s="1"/>
      <c r="I95" s="156"/>
      <c r="J95" s="156"/>
      <c r="K95" s="156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 spans="1:26" x14ac:dyDescent="0.25">
      <c r="A96" s="1"/>
      <c r="B96" s="168"/>
      <c r="C96" s="1"/>
      <c r="D96" s="1"/>
      <c r="E96" s="1"/>
      <c r="F96" s="1"/>
      <c r="G96" s="1"/>
      <c r="H96" s="1"/>
      <c r="I96" s="156"/>
      <c r="J96" s="156"/>
      <c r="K96" s="156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 spans="1:26" x14ac:dyDescent="0.25">
      <c r="A97" s="1"/>
      <c r="B97" s="168"/>
      <c r="C97" s="1"/>
      <c r="D97" s="1"/>
      <c r="E97" s="1"/>
      <c r="F97" s="1"/>
      <c r="G97" s="1"/>
      <c r="H97" s="1"/>
      <c r="I97" s="156"/>
      <c r="J97" s="156"/>
      <c r="K97" s="156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 spans="1:26" x14ac:dyDescent="0.25">
      <c r="A98" s="1"/>
      <c r="B98" s="168"/>
      <c r="C98" s="1"/>
      <c r="D98" s="1"/>
      <c r="E98" s="1"/>
      <c r="F98" s="1"/>
      <c r="G98" s="1"/>
      <c r="H98" s="1"/>
      <c r="I98" s="156"/>
      <c r="J98" s="156"/>
      <c r="K98" s="156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 spans="1:26" x14ac:dyDescent="0.25">
      <c r="A99" s="1"/>
      <c r="B99" s="168"/>
      <c r="C99" s="1"/>
      <c r="D99" s="1"/>
      <c r="E99" s="1"/>
      <c r="F99" s="1"/>
      <c r="G99" s="1"/>
      <c r="H99" s="1"/>
      <c r="I99" s="156"/>
      <c r="J99" s="156"/>
      <c r="K99" s="156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 spans="1:26" x14ac:dyDescent="0.25">
      <c r="A100" s="1"/>
      <c r="B100" s="168"/>
      <c r="C100" s="1"/>
      <c r="D100" s="1"/>
      <c r="E100" s="1"/>
      <c r="F100" s="1"/>
      <c r="G100" s="1"/>
      <c r="H100" s="1"/>
      <c r="I100" s="156"/>
      <c r="J100" s="156"/>
      <c r="K100" s="156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 spans="1:26" x14ac:dyDescent="0.25">
      <c r="A101" s="1"/>
      <c r="B101" s="168"/>
      <c r="C101" s="1"/>
      <c r="D101" s="1"/>
      <c r="E101" s="1"/>
      <c r="F101" s="1"/>
      <c r="G101" s="1"/>
      <c r="H101" s="1"/>
      <c r="I101" s="156"/>
      <c r="J101" s="156"/>
      <c r="K101" s="156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 spans="1:26" x14ac:dyDescent="0.25">
      <c r="A102" s="1"/>
      <c r="B102" s="168"/>
      <c r="C102" s="1"/>
      <c r="D102" s="1"/>
      <c r="E102" s="1"/>
      <c r="F102" s="1"/>
      <c r="G102" s="1"/>
      <c r="H102" s="1"/>
      <c r="I102" s="156"/>
      <c r="J102" s="156"/>
      <c r="K102" s="156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 spans="1:26" x14ac:dyDescent="0.25">
      <c r="A103" s="1"/>
      <c r="B103" s="168"/>
      <c r="C103" s="1"/>
      <c r="D103" s="1"/>
      <c r="E103" s="1"/>
      <c r="F103" s="1"/>
      <c r="G103" s="1"/>
      <c r="H103" s="1"/>
      <c r="I103" s="156"/>
      <c r="J103" s="156"/>
      <c r="K103" s="156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 spans="1:26" x14ac:dyDescent="0.25">
      <c r="A104" s="1"/>
      <c r="B104" s="168"/>
      <c r="C104" s="1"/>
      <c r="D104" s="1"/>
      <c r="E104" s="1"/>
      <c r="F104" s="1"/>
      <c r="G104" s="1"/>
      <c r="H104" s="1"/>
      <c r="I104" s="156"/>
      <c r="J104" s="156"/>
      <c r="K104" s="156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 spans="1:26" x14ac:dyDescent="0.25">
      <c r="A105" s="1"/>
      <c r="B105" s="168"/>
      <c r="C105" s="1"/>
      <c r="D105" s="1"/>
      <c r="E105" s="1"/>
      <c r="F105" s="1"/>
      <c r="G105" s="1"/>
      <c r="H105" s="1"/>
      <c r="I105" s="156"/>
      <c r="J105" s="156"/>
      <c r="K105" s="156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 spans="1:26" x14ac:dyDescent="0.25">
      <c r="A106" s="1"/>
      <c r="B106" s="168"/>
      <c r="C106" s="1"/>
      <c r="D106" s="1"/>
      <c r="E106" s="1"/>
      <c r="F106" s="1"/>
      <c r="G106" s="1"/>
      <c r="H106" s="1"/>
      <c r="I106" s="156"/>
      <c r="J106" s="156"/>
      <c r="K106" s="156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 spans="1:26" x14ac:dyDescent="0.25">
      <c r="A107" s="1"/>
      <c r="B107" s="168"/>
      <c r="C107" s="1"/>
      <c r="D107" s="1"/>
      <c r="E107" s="1"/>
      <c r="F107" s="1"/>
      <c r="G107" s="1"/>
      <c r="H107" s="1"/>
      <c r="I107" s="156"/>
      <c r="J107" s="156"/>
      <c r="K107" s="156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 spans="1:26" x14ac:dyDescent="0.25">
      <c r="A108" s="1"/>
      <c r="B108" s="168"/>
      <c r="C108" s="1"/>
      <c r="D108" s="1"/>
      <c r="E108" s="1"/>
      <c r="F108" s="1"/>
      <c r="G108" s="1"/>
      <c r="H108" s="1"/>
      <c r="I108" s="156"/>
      <c r="J108" s="156"/>
      <c r="K108" s="156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 spans="1:26" x14ac:dyDescent="0.25">
      <c r="A109" s="1"/>
      <c r="B109" s="168"/>
      <c r="C109" s="1"/>
      <c r="D109" s="1"/>
      <c r="E109" s="1"/>
      <c r="F109" s="1"/>
      <c r="G109" s="1"/>
      <c r="H109" s="1"/>
      <c r="I109" s="156"/>
      <c r="J109" s="156"/>
      <c r="K109" s="156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 spans="1:26" x14ac:dyDescent="0.25">
      <c r="A110" s="1"/>
      <c r="B110" s="168"/>
      <c r="C110" s="1"/>
      <c r="D110" s="1"/>
      <c r="E110" s="1"/>
      <c r="F110" s="1"/>
      <c r="G110" s="1"/>
      <c r="H110" s="1"/>
      <c r="I110" s="156"/>
      <c r="J110" s="156"/>
      <c r="K110" s="156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 spans="1:26" x14ac:dyDescent="0.25">
      <c r="A111" s="1"/>
      <c r="B111" s="168"/>
      <c r="C111" s="1"/>
      <c r="D111" s="1"/>
      <c r="E111" s="1"/>
      <c r="F111" s="1"/>
      <c r="G111" s="1"/>
      <c r="H111" s="1"/>
      <c r="I111" s="156"/>
      <c r="J111" s="156"/>
      <c r="K111" s="156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 spans="1:26" x14ac:dyDescent="0.25">
      <c r="A112" s="1"/>
      <c r="B112" s="168"/>
      <c r="C112" s="1"/>
      <c r="D112" s="1"/>
      <c r="E112" s="1"/>
      <c r="F112" s="1"/>
      <c r="G112" s="1"/>
      <c r="H112" s="1"/>
      <c r="I112" s="156"/>
      <c r="J112" s="156"/>
      <c r="K112" s="156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 spans="1:26" x14ac:dyDescent="0.25">
      <c r="A113" s="1"/>
      <c r="B113" s="168"/>
      <c r="C113" s="1"/>
      <c r="D113" s="1"/>
      <c r="E113" s="1"/>
      <c r="F113" s="1"/>
      <c r="G113" s="1"/>
      <c r="H113" s="1"/>
      <c r="I113" s="156"/>
      <c r="J113" s="156"/>
      <c r="K113" s="156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 spans="1:26" x14ac:dyDescent="0.25">
      <c r="A114" s="1"/>
      <c r="B114" s="168"/>
      <c r="C114" s="1"/>
      <c r="D114" s="1"/>
      <c r="E114" s="1"/>
      <c r="F114" s="1"/>
      <c r="G114" s="1"/>
      <c r="H114" s="1"/>
      <c r="I114" s="156"/>
      <c r="J114" s="156"/>
      <c r="K114" s="156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 spans="1:26" x14ac:dyDescent="0.25">
      <c r="A115" s="1"/>
      <c r="B115" s="168"/>
      <c r="C115" s="1"/>
      <c r="D115" s="1"/>
      <c r="E115" s="1"/>
      <c r="F115" s="1"/>
      <c r="G115" s="1"/>
      <c r="H115" s="1"/>
      <c r="I115" s="156"/>
      <c r="J115" s="156"/>
      <c r="K115" s="156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 spans="1:26" x14ac:dyDescent="0.25">
      <c r="A116" s="1"/>
      <c r="B116" s="168"/>
      <c r="C116" s="1"/>
      <c r="D116" s="1"/>
      <c r="E116" s="1"/>
      <c r="F116" s="1"/>
      <c r="G116" s="1"/>
      <c r="H116" s="1"/>
      <c r="I116" s="156"/>
      <c r="J116" s="156"/>
      <c r="K116" s="156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 spans="1:26" x14ac:dyDescent="0.25">
      <c r="A117" s="1"/>
      <c r="B117" s="168"/>
      <c r="C117" s="1"/>
      <c r="D117" s="1"/>
      <c r="E117" s="1"/>
      <c r="F117" s="1"/>
      <c r="G117" s="1"/>
      <c r="H117" s="1"/>
      <c r="I117" s="156"/>
      <c r="J117" s="156"/>
      <c r="K117" s="156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 spans="1:26" x14ac:dyDescent="0.25">
      <c r="A118" s="1"/>
      <c r="B118" s="168"/>
      <c r="C118" s="1"/>
      <c r="D118" s="1"/>
      <c r="E118" s="1"/>
      <c r="F118" s="1"/>
      <c r="G118" s="1"/>
      <c r="H118" s="1"/>
      <c r="I118" s="156"/>
      <c r="J118" s="156"/>
      <c r="K118" s="156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 spans="1:26" x14ac:dyDescent="0.25">
      <c r="A119" s="1"/>
      <c r="B119" s="168"/>
      <c r="C119" s="1"/>
      <c r="D119" s="1"/>
      <c r="E119" s="1"/>
      <c r="F119" s="1"/>
      <c r="G119" s="1"/>
      <c r="H119" s="1"/>
      <c r="I119" s="156"/>
      <c r="J119" s="156"/>
      <c r="K119" s="156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 spans="1:26" x14ac:dyDescent="0.25">
      <c r="A120" s="1"/>
      <c r="B120" s="168"/>
      <c r="C120" s="1"/>
      <c r="D120" s="1"/>
      <c r="E120" s="1"/>
      <c r="F120" s="1"/>
      <c r="G120" s="1"/>
      <c r="H120" s="1"/>
      <c r="I120" s="156"/>
      <c r="J120" s="156"/>
      <c r="K120" s="156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 spans="1:26" x14ac:dyDescent="0.25">
      <c r="A121" s="1"/>
      <c r="B121" s="168"/>
      <c r="C121" s="1"/>
      <c r="D121" s="1"/>
      <c r="E121" s="1"/>
      <c r="F121" s="1"/>
      <c r="G121" s="1"/>
      <c r="H121" s="1"/>
      <c r="I121" s="156"/>
      <c r="J121" s="156"/>
      <c r="K121" s="156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 spans="1:26" x14ac:dyDescent="0.25">
      <c r="A122" s="1"/>
      <c r="B122" s="168"/>
      <c r="C122" s="1"/>
      <c r="D122" s="1"/>
      <c r="E122" s="1"/>
      <c r="F122" s="1"/>
      <c r="G122" s="1"/>
      <c r="H122" s="1"/>
      <c r="I122" s="156"/>
      <c r="J122" s="156"/>
      <c r="K122" s="156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 spans="1:26" x14ac:dyDescent="0.25">
      <c r="A123" s="1"/>
      <c r="B123" s="168"/>
      <c r="C123" s="1"/>
      <c r="D123" s="1"/>
      <c r="E123" s="1"/>
      <c r="F123" s="1"/>
      <c r="G123" s="1"/>
      <c r="H123" s="1"/>
      <c r="I123" s="156"/>
      <c r="J123" s="156"/>
      <c r="K123" s="156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 spans="1:26" x14ac:dyDescent="0.25">
      <c r="A124" s="1"/>
      <c r="B124" s="168"/>
      <c r="C124" s="1"/>
      <c r="D124" s="1"/>
      <c r="E124" s="1"/>
      <c r="F124" s="1"/>
      <c r="G124" s="1"/>
      <c r="H124" s="1"/>
      <c r="I124" s="156"/>
      <c r="J124" s="156"/>
      <c r="K124" s="156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 spans="1:26" x14ac:dyDescent="0.25">
      <c r="A125" s="1"/>
      <c r="B125" s="168"/>
      <c r="C125" s="1"/>
      <c r="D125" s="1"/>
      <c r="E125" s="1"/>
      <c r="F125" s="1"/>
      <c r="G125" s="1"/>
      <c r="H125" s="1"/>
      <c r="I125" s="156"/>
      <c r="J125" s="156"/>
      <c r="K125" s="156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 spans="1:26" x14ac:dyDescent="0.25">
      <c r="A126" s="1"/>
      <c r="B126" s="168"/>
      <c r="C126" s="1"/>
      <c r="D126" s="1"/>
      <c r="E126" s="1"/>
      <c r="F126" s="1"/>
      <c r="G126" s="1"/>
      <c r="H126" s="1"/>
      <c r="I126" s="156"/>
      <c r="J126" s="156"/>
      <c r="K126" s="156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 spans="1:26" x14ac:dyDescent="0.25">
      <c r="A127" s="1"/>
      <c r="B127" s="168"/>
      <c r="C127" s="1"/>
      <c r="D127" s="1"/>
      <c r="E127" s="1"/>
      <c r="F127" s="1"/>
      <c r="G127" s="1"/>
      <c r="H127" s="1"/>
      <c r="I127" s="156"/>
      <c r="J127" s="156"/>
      <c r="K127" s="156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 spans="1:26" x14ac:dyDescent="0.25">
      <c r="A128" s="1"/>
      <c r="B128" s="168"/>
      <c r="C128" s="1"/>
      <c r="D128" s="1"/>
      <c r="E128" s="1"/>
      <c r="F128" s="1"/>
      <c r="G128" s="1"/>
      <c r="H128" s="1"/>
      <c r="I128" s="156"/>
      <c r="J128" s="156"/>
      <c r="K128" s="156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 spans="1:26" x14ac:dyDescent="0.25">
      <c r="A129" s="1"/>
      <c r="B129" s="168"/>
      <c r="C129" s="1"/>
      <c r="D129" s="1"/>
      <c r="E129" s="1"/>
      <c r="F129" s="1"/>
      <c r="G129" s="1"/>
      <c r="H129" s="1"/>
      <c r="I129" s="156"/>
      <c r="J129" s="156"/>
      <c r="K129" s="156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 spans="1:26" x14ac:dyDescent="0.25">
      <c r="A130" s="1"/>
      <c r="B130" s="168"/>
      <c r="C130" s="1"/>
      <c r="D130" s="1"/>
      <c r="E130" s="1"/>
      <c r="F130" s="1"/>
      <c r="G130" s="1"/>
      <c r="H130" s="1"/>
      <c r="I130" s="156"/>
      <c r="J130" s="156"/>
      <c r="K130" s="156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 spans="1:26" x14ac:dyDescent="0.25">
      <c r="A131" s="1"/>
      <c r="B131" s="168"/>
      <c r="C131" s="1"/>
      <c r="D131" s="1"/>
      <c r="E131" s="1"/>
      <c r="F131" s="1"/>
      <c r="G131" s="1"/>
      <c r="H131" s="1"/>
      <c r="I131" s="156"/>
      <c r="J131" s="156"/>
      <c r="K131" s="156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 spans="1:26" x14ac:dyDescent="0.25">
      <c r="A132" s="1"/>
      <c r="B132" s="168"/>
      <c r="C132" s="1"/>
      <c r="D132" s="1"/>
      <c r="E132" s="1"/>
      <c r="F132" s="1"/>
      <c r="G132" s="1"/>
      <c r="H132" s="1"/>
      <c r="I132" s="156"/>
      <c r="J132" s="156"/>
      <c r="K132" s="156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 spans="1:26" x14ac:dyDescent="0.25">
      <c r="A133" s="1"/>
      <c r="B133" s="168"/>
      <c r="C133" s="1"/>
      <c r="D133" s="1"/>
      <c r="E133" s="1"/>
      <c r="F133" s="1"/>
      <c r="G133" s="1"/>
      <c r="H133" s="1"/>
      <c r="I133" s="156"/>
      <c r="J133" s="156"/>
      <c r="K133" s="156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 spans="1:26" x14ac:dyDescent="0.25">
      <c r="A134" s="1"/>
      <c r="B134" s="168"/>
      <c r="C134" s="1"/>
      <c r="D134" s="1"/>
      <c r="E134" s="1"/>
      <c r="F134" s="1"/>
      <c r="G134" s="1"/>
      <c r="H134" s="1"/>
      <c r="I134" s="156"/>
      <c r="J134" s="156"/>
      <c r="K134" s="156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 spans="1:26" x14ac:dyDescent="0.25">
      <c r="A135" s="1"/>
      <c r="B135" s="168"/>
      <c r="C135" s="1"/>
      <c r="D135" s="1"/>
      <c r="E135" s="1"/>
      <c r="F135" s="1"/>
      <c r="G135" s="1"/>
      <c r="H135" s="1"/>
      <c r="I135" s="156"/>
      <c r="J135" s="156"/>
      <c r="K135" s="156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 spans="1:26" x14ac:dyDescent="0.25">
      <c r="A136" s="1"/>
      <c r="B136" s="168"/>
      <c r="C136" s="1"/>
      <c r="D136" s="1"/>
      <c r="E136" s="1"/>
      <c r="F136" s="1"/>
      <c r="G136" s="1"/>
      <c r="H136" s="1"/>
      <c r="I136" s="156"/>
      <c r="J136" s="156"/>
      <c r="K136" s="156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 spans="1:26" x14ac:dyDescent="0.25">
      <c r="A137" s="1"/>
      <c r="B137" s="168"/>
      <c r="C137" s="1"/>
      <c r="D137" s="1"/>
      <c r="E137" s="1"/>
      <c r="F137" s="1"/>
      <c r="G137" s="1"/>
      <c r="H137" s="1"/>
      <c r="I137" s="156"/>
      <c r="J137" s="156"/>
      <c r="K137" s="156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 spans="1:26" x14ac:dyDescent="0.25">
      <c r="A138" s="1"/>
      <c r="B138" s="168"/>
      <c r="C138" s="1"/>
      <c r="D138" s="1"/>
      <c r="E138" s="1"/>
      <c r="F138" s="1"/>
      <c r="G138" s="1"/>
      <c r="H138" s="1"/>
      <c r="I138" s="156"/>
      <c r="J138" s="156"/>
      <c r="K138" s="15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 spans="1:26" x14ac:dyDescent="0.25">
      <c r="A139" s="1"/>
      <c r="B139" s="168"/>
      <c r="C139" s="1"/>
      <c r="D139" s="1"/>
      <c r="E139" s="1"/>
      <c r="F139" s="1"/>
      <c r="G139" s="1"/>
      <c r="H139" s="1"/>
      <c r="I139" s="156"/>
      <c r="J139" s="156"/>
      <c r="K139" s="156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 spans="1:26" x14ac:dyDescent="0.25">
      <c r="A140" s="1"/>
      <c r="B140" s="168"/>
      <c r="C140" s="1"/>
      <c r="D140" s="1"/>
      <c r="E140" s="1"/>
      <c r="F140" s="1"/>
      <c r="G140" s="1"/>
      <c r="H140" s="1"/>
      <c r="I140" s="156"/>
      <c r="J140" s="156"/>
      <c r="K140" s="156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 spans="1:26" x14ac:dyDescent="0.25">
      <c r="A141" s="1"/>
      <c r="B141" s="168"/>
      <c r="C141" s="1"/>
      <c r="D141" s="1"/>
      <c r="E141" s="1"/>
      <c r="F141" s="1"/>
      <c r="G141" s="1"/>
      <c r="H141" s="1"/>
      <c r="I141" s="156"/>
      <c r="J141" s="156"/>
      <c r="K141" s="156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 spans="1:26" x14ac:dyDescent="0.25">
      <c r="A142" s="1"/>
      <c r="B142" s="168"/>
      <c r="C142" s="1"/>
      <c r="D142" s="1"/>
      <c r="E142" s="1"/>
      <c r="F142" s="1"/>
      <c r="G142" s="1"/>
      <c r="H142" s="1"/>
      <c r="I142" s="156"/>
      <c r="J142" s="156"/>
      <c r="K142" s="156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 spans="1:26" x14ac:dyDescent="0.25">
      <c r="A143" s="1"/>
      <c r="B143" s="168"/>
      <c r="C143" s="1"/>
      <c r="D143" s="1"/>
      <c r="E143" s="1"/>
      <c r="F143" s="1"/>
      <c r="G143" s="1"/>
      <c r="H143" s="1"/>
      <c r="I143" s="156"/>
      <c r="J143" s="156"/>
      <c r="K143" s="156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 spans="1:26" x14ac:dyDescent="0.25">
      <c r="A144" s="1"/>
      <c r="B144" s="168"/>
      <c r="C144" s="1"/>
      <c r="D144" s="1"/>
      <c r="E144" s="1"/>
      <c r="F144" s="1"/>
      <c r="G144" s="1"/>
      <c r="H144" s="1"/>
      <c r="I144" s="156"/>
      <c r="J144" s="156"/>
      <c r="K144" s="156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 spans="1:26" x14ac:dyDescent="0.25">
      <c r="A145" s="1"/>
      <c r="B145" s="168"/>
      <c r="C145" s="1"/>
      <c r="D145" s="1"/>
      <c r="E145" s="1"/>
      <c r="F145" s="1"/>
      <c r="G145" s="1"/>
      <c r="H145" s="1"/>
      <c r="I145" s="156"/>
      <c r="J145" s="156"/>
      <c r="K145" s="156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 spans="1:26" x14ac:dyDescent="0.25">
      <c r="A146" s="1"/>
      <c r="B146" s="168"/>
      <c r="C146" s="1"/>
      <c r="D146" s="1"/>
      <c r="E146" s="1"/>
      <c r="F146" s="1"/>
      <c r="G146" s="1"/>
      <c r="H146" s="1"/>
      <c r="I146" s="156"/>
      <c r="J146" s="156"/>
      <c r="K146" s="156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 spans="1:26" x14ac:dyDescent="0.25">
      <c r="A147" s="1"/>
      <c r="B147" s="168"/>
      <c r="C147" s="1"/>
      <c r="D147" s="1"/>
      <c r="E147" s="1"/>
      <c r="F147" s="1"/>
      <c r="G147" s="1"/>
      <c r="H147" s="1"/>
      <c r="I147" s="156"/>
      <c r="J147" s="156"/>
      <c r="K147" s="15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 spans="1:26" x14ac:dyDescent="0.25">
      <c r="A148" s="1"/>
      <c r="B148" s="168"/>
      <c r="C148" s="1"/>
      <c r="D148" s="1"/>
      <c r="E148" s="1"/>
      <c r="F148" s="1"/>
      <c r="G148" s="1"/>
      <c r="H148" s="1"/>
      <c r="I148" s="156"/>
      <c r="J148" s="156"/>
      <c r="K148" s="156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 spans="1:26" x14ac:dyDescent="0.25">
      <c r="A149" s="1"/>
      <c r="B149" s="168"/>
      <c r="C149" s="1"/>
      <c r="D149" s="1"/>
      <c r="E149" s="1"/>
      <c r="F149" s="1"/>
      <c r="G149" s="1"/>
      <c r="H149" s="1"/>
      <c r="I149" s="156"/>
      <c r="J149" s="156"/>
      <c r="K149" s="156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 spans="1:26" x14ac:dyDescent="0.25">
      <c r="A150" s="1"/>
      <c r="B150" s="168"/>
      <c r="C150" s="1"/>
      <c r="D150" s="1"/>
      <c r="E150" s="1"/>
      <c r="F150" s="1"/>
      <c r="G150" s="1"/>
      <c r="H150" s="1"/>
      <c r="I150" s="156"/>
      <c r="J150" s="156"/>
      <c r="K150" s="156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 spans="1:26" x14ac:dyDescent="0.25">
      <c r="A151" s="1"/>
      <c r="B151" s="168"/>
      <c r="C151" s="1"/>
      <c r="D151" s="1"/>
      <c r="E151" s="1"/>
      <c r="F151" s="1"/>
      <c r="G151" s="1"/>
      <c r="H151" s="1"/>
      <c r="I151" s="156"/>
      <c r="J151" s="156"/>
      <c r="K151" s="156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 spans="1:26" x14ac:dyDescent="0.25">
      <c r="A152" s="1"/>
      <c r="B152" s="168"/>
      <c r="C152" s="1"/>
      <c r="D152" s="1"/>
      <c r="E152" s="1"/>
      <c r="F152" s="1"/>
      <c r="G152" s="1"/>
      <c r="H152" s="1"/>
      <c r="I152" s="156"/>
      <c r="J152" s="156"/>
      <c r="K152" s="156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 spans="1:26" x14ac:dyDescent="0.25">
      <c r="A153" s="1"/>
      <c r="B153" s="168"/>
      <c r="C153" s="1"/>
      <c r="D153" s="1"/>
      <c r="E153" s="1"/>
      <c r="F153" s="1"/>
      <c r="G153" s="1"/>
      <c r="H153" s="1"/>
      <c r="I153" s="156"/>
      <c r="J153" s="156"/>
      <c r="K153" s="156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 spans="1:26" x14ac:dyDescent="0.25">
      <c r="A154" s="1"/>
      <c r="B154" s="168"/>
      <c r="C154" s="1"/>
      <c r="D154" s="1"/>
      <c r="E154" s="1"/>
      <c r="F154" s="1"/>
      <c r="G154" s="1"/>
      <c r="H154" s="1"/>
      <c r="I154" s="156"/>
      <c r="J154" s="156"/>
      <c r="K154" s="156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 spans="1:26" x14ac:dyDescent="0.25">
      <c r="A155" s="1"/>
      <c r="B155" s="168"/>
      <c r="C155" s="1"/>
      <c r="D155" s="1"/>
      <c r="E155" s="1"/>
      <c r="F155" s="1"/>
      <c r="G155" s="1"/>
      <c r="H155" s="1"/>
      <c r="I155" s="156"/>
      <c r="J155" s="156"/>
      <c r="K155" s="156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 spans="1:26" x14ac:dyDescent="0.25">
      <c r="A156" s="1"/>
      <c r="B156" s="168"/>
      <c r="C156" s="1"/>
      <c r="D156" s="1"/>
      <c r="E156" s="1"/>
      <c r="F156" s="1"/>
      <c r="G156" s="1"/>
      <c r="H156" s="1"/>
      <c r="I156" s="156"/>
      <c r="J156" s="156"/>
      <c r="K156" s="156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 spans="1:26" x14ac:dyDescent="0.25">
      <c r="A157" s="1"/>
      <c r="B157" s="168"/>
      <c r="C157" s="1"/>
      <c r="D157" s="1"/>
      <c r="E157" s="1"/>
      <c r="F157" s="1"/>
      <c r="G157" s="1"/>
      <c r="H157" s="1"/>
      <c r="I157" s="156"/>
      <c r="J157" s="156"/>
      <c r="K157" s="156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 spans="1:26" x14ac:dyDescent="0.25">
      <c r="A158" s="1"/>
      <c r="B158" s="168"/>
      <c r="C158" s="1"/>
      <c r="D158" s="1"/>
      <c r="E158" s="1"/>
      <c r="F158" s="1"/>
      <c r="G158" s="1"/>
      <c r="H158" s="1"/>
      <c r="I158" s="156"/>
      <c r="J158" s="156"/>
      <c r="K158" s="156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 spans="1:26" x14ac:dyDescent="0.25">
      <c r="A159" s="1"/>
      <c r="B159" s="168"/>
      <c r="C159" s="1"/>
      <c r="D159" s="1"/>
      <c r="E159" s="1"/>
      <c r="F159" s="1"/>
      <c r="G159" s="1"/>
      <c r="H159" s="1"/>
      <c r="I159" s="156"/>
      <c r="J159" s="156"/>
      <c r="K159" s="156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 spans="1:26" x14ac:dyDescent="0.25">
      <c r="A160" s="1"/>
      <c r="B160" s="168"/>
      <c r="C160" s="1"/>
      <c r="D160" s="1"/>
      <c r="E160" s="1"/>
      <c r="F160" s="1"/>
      <c r="G160" s="1"/>
      <c r="H160" s="1"/>
      <c r="I160" s="156"/>
      <c r="J160" s="156"/>
      <c r="K160" s="156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 spans="1:26" x14ac:dyDescent="0.25">
      <c r="A161" s="1"/>
      <c r="B161" s="168"/>
      <c r="C161" s="1"/>
      <c r="D161" s="1"/>
      <c r="E161" s="1"/>
      <c r="F161" s="1"/>
      <c r="G161" s="1"/>
      <c r="H161" s="1"/>
      <c r="I161" s="156"/>
      <c r="J161" s="156"/>
      <c r="K161" s="156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 spans="1:26" x14ac:dyDescent="0.25">
      <c r="A162" s="1"/>
      <c r="B162" s="168"/>
      <c r="C162" s="1"/>
      <c r="D162" s="1"/>
      <c r="E162" s="1"/>
      <c r="F162" s="1"/>
      <c r="G162" s="1"/>
      <c r="H162" s="1"/>
      <c r="I162" s="156"/>
      <c r="J162" s="156"/>
      <c r="K162" s="156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 spans="1:26" x14ac:dyDescent="0.25">
      <c r="A163" s="1"/>
      <c r="B163" s="168"/>
      <c r="C163" s="1"/>
      <c r="D163" s="1"/>
      <c r="E163" s="1"/>
      <c r="F163" s="1"/>
      <c r="G163" s="1"/>
      <c r="H163" s="1"/>
      <c r="I163" s="156"/>
      <c r="J163" s="156"/>
      <c r="K163" s="156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 spans="1:26" x14ac:dyDescent="0.25">
      <c r="A164" s="1"/>
      <c r="B164" s="168"/>
      <c r="C164" s="1"/>
      <c r="D164" s="1"/>
      <c r="E164" s="1"/>
      <c r="F164" s="1"/>
      <c r="G164" s="1"/>
      <c r="H164" s="1"/>
      <c r="I164" s="156"/>
      <c r="J164" s="156"/>
      <c r="K164" s="156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 spans="1:26" x14ac:dyDescent="0.25">
      <c r="A165" s="1"/>
      <c r="B165" s="168"/>
      <c r="C165" s="1"/>
      <c r="D165" s="1"/>
      <c r="E165" s="1"/>
      <c r="F165" s="1"/>
      <c r="G165" s="1"/>
      <c r="H165" s="1"/>
      <c r="I165" s="156"/>
      <c r="J165" s="156"/>
      <c r="K165" s="156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 spans="1:26" x14ac:dyDescent="0.25">
      <c r="A166" s="1"/>
      <c r="B166" s="168"/>
      <c r="C166" s="1"/>
      <c r="D166" s="1"/>
      <c r="E166" s="1"/>
      <c r="F166" s="1"/>
      <c r="G166" s="1"/>
      <c r="H166" s="1"/>
      <c r="I166" s="156"/>
      <c r="J166" s="156"/>
      <c r="K166" s="156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 spans="1:26" x14ac:dyDescent="0.25">
      <c r="A167" s="1"/>
      <c r="B167" s="168"/>
      <c r="C167" s="1"/>
      <c r="D167" s="1"/>
      <c r="E167" s="1"/>
      <c r="F167" s="1"/>
      <c r="G167" s="1"/>
      <c r="H167" s="1"/>
      <c r="I167" s="156"/>
      <c r="J167" s="156"/>
      <c r="K167" s="156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 spans="1:26" x14ac:dyDescent="0.25">
      <c r="A168" s="1"/>
      <c r="B168" s="168"/>
      <c r="C168" s="1"/>
      <c r="D168" s="1"/>
      <c r="E168" s="1"/>
      <c r="F168" s="1"/>
      <c r="G168" s="1"/>
      <c r="H168" s="1"/>
      <c r="I168" s="156"/>
      <c r="J168" s="156"/>
      <c r="K168" s="156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 spans="1:26" x14ac:dyDescent="0.25">
      <c r="A169" s="1"/>
      <c r="B169" s="168"/>
      <c r="C169" s="1"/>
      <c r="D169" s="1"/>
      <c r="E169" s="1"/>
      <c r="F169" s="1"/>
      <c r="G169" s="1"/>
      <c r="H169" s="1"/>
      <c r="I169" s="156"/>
      <c r="J169" s="156"/>
      <c r="K169" s="156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 spans="1:26" x14ac:dyDescent="0.25">
      <c r="A170" s="1"/>
      <c r="B170" s="168"/>
      <c r="C170" s="1"/>
      <c r="D170" s="1"/>
      <c r="E170" s="1"/>
      <c r="F170" s="1"/>
      <c r="G170" s="1"/>
      <c r="H170" s="1"/>
      <c r="I170" s="156"/>
      <c r="J170" s="156"/>
      <c r="K170" s="156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 spans="1:26" x14ac:dyDescent="0.25">
      <c r="A171" s="1"/>
      <c r="B171" s="168"/>
      <c r="C171" s="1"/>
      <c r="D171" s="1"/>
      <c r="E171" s="1"/>
      <c r="F171" s="1"/>
      <c r="G171" s="1"/>
      <c r="H171" s="1"/>
      <c r="I171" s="156"/>
      <c r="J171" s="156"/>
      <c r="K171" s="156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 spans="1:26" x14ac:dyDescent="0.25">
      <c r="A172" s="1"/>
      <c r="B172" s="168"/>
      <c r="C172" s="1"/>
      <c r="D172" s="1"/>
      <c r="E172" s="1"/>
      <c r="F172" s="1"/>
      <c r="G172" s="1"/>
      <c r="H172" s="1"/>
      <c r="I172" s="156"/>
      <c r="J172" s="156"/>
      <c r="K172" s="156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 spans="1:26" x14ac:dyDescent="0.25">
      <c r="A173" s="1"/>
      <c r="B173" s="168"/>
      <c r="C173" s="1"/>
      <c r="D173" s="1"/>
      <c r="E173" s="1"/>
      <c r="F173" s="1"/>
      <c r="G173" s="1"/>
      <c r="H173" s="1"/>
      <c r="I173" s="156"/>
      <c r="J173" s="156"/>
      <c r="K173" s="15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 spans="1:26" x14ac:dyDescent="0.25">
      <c r="A174" s="1"/>
      <c r="B174" s="168"/>
      <c r="C174" s="1"/>
      <c r="D174" s="1"/>
      <c r="E174" s="1"/>
      <c r="F174" s="1"/>
      <c r="G174" s="1"/>
      <c r="H174" s="1"/>
      <c r="I174" s="156"/>
      <c r="J174" s="156"/>
      <c r="K174" s="156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 spans="1:26" x14ac:dyDescent="0.25">
      <c r="A175" s="1"/>
      <c r="B175" s="168"/>
      <c r="C175" s="1"/>
      <c r="D175" s="1"/>
      <c r="E175" s="1"/>
      <c r="F175" s="1"/>
      <c r="G175" s="1"/>
      <c r="H175" s="1"/>
      <c r="I175" s="156"/>
      <c r="J175" s="156"/>
      <c r="K175" s="156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 spans="1:26" x14ac:dyDescent="0.25">
      <c r="A176" s="1"/>
      <c r="B176" s="168"/>
      <c r="C176" s="1"/>
      <c r="D176" s="1"/>
      <c r="E176" s="1"/>
      <c r="F176" s="1"/>
      <c r="G176" s="1"/>
      <c r="H176" s="1"/>
      <c r="I176" s="156"/>
      <c r="J176" s="156"/>
      <c r="K176" s="156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 spans="1:26" x14ac:dyDescent="0.25">
      <c r="A177" s="1"/>
      <c r="B177" s="168"/>
      <c r="C177" s="1"/>
      <c r="D177" s="1"/>
      <c r="E177" s="1"/>
      <c r="F177" s="1"/>
      <c r="G177" s="1"/>
      <c r="H177" s="1"/>
      <c r="I177" s="156"/>
      <c r="J177" s="156"/>
      <c r="K177" s="156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 spans="1:26" x14ac:dyDescent="0.25">
      <c r="A178" s="1"/>
      <c r="B178" s="168"/>
      <c r="C178" s="1"/>
      <c r="D178" s="1"/>
      <c r="E178" s="1"/>
      <c r="F178" s="1"/>
      <c r="G178" s="1"/>
      <c r="H178" s="1"/>
      <c r="I178" s="156"/>
      <c r="J178" s="156"/>
      <c r="K178" s="156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 spans="1:26" x14ac:dyDescent="0.25">
      <c r="A179" s="1"/>
      <c r="B179" s="168"/>
      <c r="C179" s="1"/>
      <c r="D179" s="1"/>
      <c r="E179" s="1"/>
      <c r="F179" s="1"/>
      <c r="G179" s="1"/>
      <c r="H179" s="1"/>
      <c r="I179" s="156"/>
      <c r="J179" s="156"/>
      <c r="K179" s="15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 spans="1:26" x14ac:dyDescent="0.25">
      <c r="A180" s="1"/>
      <c r="B180" s="168"/>
      <c r="C180" s="1"/>
      <c r="D180" s="1"/>
      <c r="E180" s="1"/>
      <c r="F180" s="1"/>
      <c r="G180" s="1"/>
      <c r="H180" s="1"/>
      <c r="I180" s="156"/>
      <c r="J180" s="156"/>
      <c r="K180" s="15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 spans="1:26" x14ac:dyDescent="0.25">
      <c r="A181" s="1"/>
      <c r="B181" s="168"/>
      <c r="C181" s="1"/>
      <c r="D181" s="1"/>
      <c r="E181" s="1"/>
      <c r="F181" s="1"/>
      <c r="G181" s="1"/>
      <c r="H181" s="1"/>
      <c r="I181" s="156"/>
      <c r="J181" s="156"/>
      <c r="K181" s="15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 spans="1:26" x14ac:dyDescent="0.25">
      <c r="A182" s="1"/>
      <c r="B182" s="168"/>
      <c r="C182" s="1"/>
      <c r="D182" s="1"/>
      <c r="E182" s="1"/>
      <c r="F182" s="1"/>
      <c r="G182" s="1"/>
      <c r="H182" s="1"/>
      <c r="I182" s="156"/>
      <c r="J182" s="156"/>
      <c r="K182" s="156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 spans="1:26" x14ac:dyDescent="0.25">
      <c r="A183" s="1"/>
      <c r="B183" s="168"/>
      <c r="C183" s="1"/>
      <c r="D183" s="1"/>
      <c r="E183" s="1"/>
      <c r="F183" s="1"/>
      <c r="G183" s="1"/>
      <c r="H183" s="1"/>
      <c r="I183" s="156"/>
      <c r="J183" s="156"/>
      <c r="K183" s="15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 spans="1:26" x14ac:dyDescent="0.25">
      <c r="A184" s="1"/>
      <c r="B184" s="168"/>
      <c r="C184" s="1"/>
      <c r="D184" s="1"/>
      <c r="E184" s="1"/>
      <c r="F184" s="1"/>
      <c r="G184" s="1"/>
      <c r="H184" s="1"/>
      <c r="I184" s="156"/>
      <c r="J184" s="156"/>
      <c r="K184" s="15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 spans="1:26" x14ac:dyDescent="0.25">
      <c r="A185" s="1"/>
      <c r="B185" s="168"/>
      <c r="C185" s="1"/>
      <c r="D185" s="1"/>
      <c r="E185" s="1"/>
      <c r="F185" s="1"/>
      <c r="G185" s="1"/>
      <c r="H185" s="1"/>
      <c r="I185" s="156"/>
      <c r="J185" s="156"/>
      <c r="K185" s="15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 spans="1:26" x14ac:dyDescent="0.25">
      <c r="A186" s="1"/>
      <c r="B186" s="168"/>
      <c r="C186" s="1"/>
      <c r="D186" s="1"/>
      <c r="E186" s="1"/>
      <c r="F186" s="1"/>
      <c r="G186" s="1"/>
      <c r="H186" s="1"/>
      <c r="I186" s="156"/>
      <c r="J186" s="156"/>
      <c r="K186" s="15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 spans="1:26" x14ac:dyDescent="0.25">
      <c r="A187" s="1"/>
      <c r="B187" s="168"/>
      <c r="C187" s="1"/>
      <c r="D187" s="1"/>
      <c r="E187" s="1"/>
      <c r="F187" s="1"/>
      <c r="G187" s="1"/>
      <c r="H187" s="1"/>
      <c r="I187" s="156"/>
      <c r="J187" s="156"/>
      <c r="K187" s="156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 spans="1:26" x14ac:dyDescent="0.25">
      <c r="A188" s="1"/>
      <c r="B188" s="168"/>
      <c r="C188" s="1"/>
      <c r="D188" s="1"/>
      <c r="E188" s="1"/>
      <c r="F188" s="1"/>
      <c r="G188" s="1"/>
      <c r="H188" s="1"/>
      <c r="I188" s="156"/>
      <c r="J188" s="156"/>
      <c r="K188" s="156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 spans="1:26" x14ac:dyDescent="0.25">
      <c r="A189" s="1"/>
      <c r="B189" s="168"/>
      <c r="C189" s="1"/>
      <c r="D189" s="1"/>
      <c r="E189" s="1"/>
      <c r="F189" s="1"/>
      <c r="G189" s="1"/>
      <c r="H189" s="1"/>
      <c r="I189" s="156"/>
      <c r="J189" s="156"/>
      <c r="K189" s="156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 spans="1:26" x14ac:dyDescent="0.25">
      <c r="A190" s="1"/>
      <c r="B190" s="168"/>
      <c r="C190" s="1"/>
      <c r="D190" s="1"/>
      <c r="E190" s="1"/>
      <c r="F190" s="1"/>
      <c r="G190" s="1"/>
      <c r="H190" s="1"/>
      <c r="I190" s="156"/>
      <c r="J190" s="156"/>
      <c r="K190" s="156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 spans="1:26" x14ac:dyDescent="0.25">
      <c r="A191" s="1"/>
      <c r="B191" s="168"/>
      <c r="C191" s="1"/>
      <c r="D191" s="1"/>
      <c r="E191" s="1"/>
      <c r="F191" s="1"/>
      <c r="G191" s="1"/>
      <c r="H191" s="1"/>
      <c r="I191" s="156"/>
      <c r="J191" s="156"/>
      <c r="K191" s="156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 spans="1:26" x14ac:dyDescent="0.25">
      <c r="A192" s="1"/>
      <c r="B192" s="168"/>
      <c r="C192" s="1"/>
      <c r="D192" s="1"/>
      <c r="E192" s="1"/>
      <c r="F192" s="1"/>
      <c r="G192" s="1"/>
      <c r="H192" s="1"/>
      <c r="I192" s="156"/>
      <c r="J192" s="156"/>
      <c r="K192" s="156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 spans="1:26" x14ac:dyDescent="0.25">
      <c r="A193" s="1"/>
      <c r="B193" s="168"/>
      <c r="C193" s="1"/>
      <c r="D193" s="1"/>
      <c r="E193" s="1"/>
      <c r="F193" s="1"/>
      <c r="G193" s="1"/>
      <c r="H193" s="1"/>
      <c r="I193" s="156"/>
      <c r="J193" s="156"/>
      <c r="K193" s="156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 spans="1:26" x14ac:dyDescent="0.25">
      <c r="A194" s="1"/>
      <c r="B194" s="168"/>
      <c r="C194" s="1"/>
      <c r="D194" s="1"/>
      <c r="E194" s="1"/>
      <c r="F194" s="1"/>
      <c r="G194" s="1"/>
      <c r="H194" s="1"/>
      <c r="I194" s="156"/>
      <c r="J194" s="156"/>
      <c r="K194" s="156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 spans="1:26" x14ac:dyDescent="0.25">
      <c r="A195" s="1"/>
      <c r="B195" s="168"/>
      <c r="C195" s="1"/>
      <c r="D195" s="1"/>
      <c r="E195" s="1"/>
      <c r="F195" s="1"/>
      <c r="G195" s="1"/>
      <c r="H195" s="1"/>
      <c r="I195" s="156"/>
      <c r="J195" s="156"/>
      <c r="K195" s="156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 spans="1:26" x14ac:dyDescent="0.25">
      <c r="A196" s="1"/>
      <c r="B196" s="168"/>
      <c r="C196" s="1"/>
      <c r="D196" s="1"/>
      <c r="E196" s="1"/>
      <c r="F196" s="1"/>
      <c r="G196" s="1"/>
      <c r="H196" s="1"/>
      <c r="I196" s="156"/>
      <c r="J196" s="156"/>
      <c r="K196" s="156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 spans="1:26" x14ac:dyDescent="0.25">
      <c r="A197" s="1"/>
      <c r="B197" s="168"/>
      <c r="C197" s="1"/>
      <c r="D197" s="1"/>
      <c r="E197" s="1"/>
      <c r="F197" s="1"/>
      <c r="G197" s="1"/>
      <c r="H197" s="1"/>
      <c r="I197" s="156"/>
      <c r="J197" s="156"/>
      <c r="K197" s="156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 spans="1:26" x14ac:dyDescent="0.25">
      <c r="A198" s="1"/>
      <c r="B198" s="168"/>
      <c r="C198" s="1"/>
      <c r="D198" s="1"/>
      <c r="E198" s="1"/>
      <c r="F198" s="1"/>
      <c r="G198" s="1"/>
      <c r="H198" s="1"/>
      <c r="I198" s="156"/>
      <c r="J198" s="156"/>
      <c r="K198" s="156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 spans="1:26" x14ac:dyDescent="0.25">
      <c r="A199" s="1"/>
      <c r="B199" s="168"/>
      <c r="C199" s="1"/>
      <c r="D199" s="1"/>
      <c r="E199" s="1"/>
      <c r="F199" s="1"/>
      <c r="G199" s="1"/>
      <c r="H199" s="1"/>
      <c r="I199" s="156"/>
      <c r="J199" s="156"/>
      <c r="K199" s="156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 spans="1:26" x14ac:dyDescent="0.25">
      <c r="A200" s="1"/>
      <c r="B200" s="168"/>
      <c r="C200" s="1"/>
      <c r="D200" s="1"/>
      <c r="E200" s="1"/>
      <c r="F200" s="1"/>
      <c r="G200" s="1"/>
      <c r="H200" s="1"/>
      <c r="I200" s="156"/>
      <c r="J200" s="156"/>
      <c r="K200" s="156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 spans="1:26" x14ac:dyDescent="0.25">
      <c r="A201" s="1"/>
      <c r="B201" s="168"/>
      <c r="C201" s="1"/>
      <c r="D201" s="1"/>
      <c r="E201" s="1"/>
      <c r="F201" s="1"/>
      <c r="G201" s="1"/>
      <c r="H201" s="1"/>
      <c r="I201" s="156"/>
      <c r="J201" s="156"/>
      <c r="K201" s="156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 spans="1:26" x14ac:dyDescent="0.25">
      <c r="A202" s="1"/>
      <c r="B202" s="168"/>
      <c r="C202" s="1"/>
      <c r="D202" s="1"/>
      <c r="E202" s="1"/>
      <c r="F202" s="1"/>
      <c r="G202" s="1"/>
      <c r="H202" s="1"/>
      <c r="I202" s="156"/>
      <c r="J202" s="156"/>
      <c r="K202" s="156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 spans="1:26" x14ac:dyDescent="0.25">
      <c r="A203" s="1"/>
      <c r="B203" s="168"/>
      <c r="C203" s="1"/>
      <c r="D203" s="1"/>
      <c r="E203" s="1"/>
      <c r="F203" s="1"/>
      <c r="G203" s="1"/>
      <c r="H203" s="1"/>
      <c r="I203" s="156"/>
      <c r="J203" s="156"/>
      <c r="K203" s="156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 spans="1:26" x14ac:dyDescent="0.25">
      <c r="A204" s="1"/>
      <c r="B204" s="168"/>
      <c r="C204" s="1"/>
      <c r="D204" s="1"/>
      <c r="E204" s="1"/>
      <c r="F204" s="1"/>
      <c r="G204" s="1"/>
      <c r="H204" s="1"/>
      <c r="I204" s="156"/>
      <c r="J204" s="156"/>
      <c r="K204" s="156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 spans="1:26" x14ac:dyDescent="0.25">
      <c r="A205" s="1"/>
      <c r="B205" s="168"/>
      <c r="C205" s="1"/>
      <c r="D205" s="1"/>
      <c r="E205" s="1"/>
      <c r="F205" s="1"/>
      <c r="G205" s="1"/>
      <c r="H205" s="1"/>
      <c r="I205" s="156"/>
      <c r="J205" s="156"/>
      <c r="K205" s="156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 spans="1:26" x14ac:dyDescent="0.25">
      <c r="A206" s="1"/>
      <c r="B206" s="168"/>
      <c r="C206" s="1"/>
      <c r="D206" s="1"/>
      <c r="E206" s="1"/>
      <c r="F206" s="1"/>
      <c r="G206" s="1"/>
      <c r="H206" s="1"/>
      <c r="I206" s="156"/>
      <c r="J206" s="156"/>
      <c r="K206" s="156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 spans="1:26" x14ac:dyDescent="0.25">
      <c r="A207" s="1"/>
      <c r="B207" s="168"/>
      <c r="C207" s="1"/>
      <c r="D207" s="1"/>
      <c r="E207" s="1"/>
      <c r="F207" s="1"/>
      <c r="G207" s="1"/>
      <c r="H207" s="1"/>
      <c r="I207" s="156"/>
      <c r="J207" s="156"/>
      <c r="K207" s="156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 spans="1:26" x14ac:dyDescent="0.25">
      <c r="A208" s="1"/>
      <c r="B208" s="168"/>
      <c r="C208" s="1"/>
      <c r="D208" s="1"/>
      <c r="E208" s="1"/>
      <c r="F208" s="1"/>
      <c r="G208" s="1"/>
      <c r="H208" s="1"/>
      <c r="I208" s="156"/>
      <c r="J208" s="156"/>
      <c r="K208" s="156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 spans="1:26" x14ac:dyDescent="0.25">
      <c r="A209" s="1"/>
      <c r="B209" s="168"/>
      <c r="C209" s="1"/>
      <c r="D209" s="1"/>
      <c r="E209" s="1"/>
      <c r="F209" s="1"/>
      <c r="G209" s="1"/>
      <c r="H209" s="1"/>
      <c r="I209" s="156"/>
      <c r="J209" s="156"/>
      <c r="K209" s="156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 spans="1:26" x14ac:dyDescent="0.25">
      <c r="A210" s="1"/>
      <c r="B210" s="168"/>
      <c r="C210" s="1"/>
      <c r="D210" s="1"/>
      <c r="E210" s="1"/>
      <c r="F210" s="1"/>
      <c r="G210" s="1"/>
      <c r="H210" s="1"/>
      <c r="I210" s="156"/>
      <c r="J210" s="156"/>
      <c r="K210" s="156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 spans="1:26" x14ac:dyDescent="0.25">
      <c r="A211" s="1"/>
      <c r="B211" s="168"/>
      <c r="C211" s="1"/>
      <c r="D211" s="1"/>
      <c r="E211" s="1"/>
      <c r="F211" s="1"/>
      <c r="G211" s="1"/>
      <c r="H211" s="1"/>
      <c r="I211" s="156"/>
      <c r="J211" s="156"/>
      <c r="K211" s="156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 spans="1:26" x14ac:dyDescent="0.25">
      <c r="A212" s="1"/>
      <c r="B212" s="168"/>
      <c r="C212" s="1"/>
      <c r="D212" s="1"/>
      <c r="E212" s="1"/>
      <c r="F212" s="1"/>
      <c r="G212" s="1"/>
      <c r="H212" s="1"/>
      <c r="I212" s="156"/>
      <c r="J212" s="156"/>
      <c r="K212" s="156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 spans="1:26" x14ac:dyDescent="0.25">
      <c r="A213" s="1"/>
      <c r="B213" s="168"/>
      <c r="C213" s="1"/>
      <c r="D213" s="1"/>
      <c r="E213" s="1"/>
      <c r="F213" s="1"/>
      <c r="G213" s="1"/>
      <c r="H213" s="1"/>
      <c r="I213" s="156"/>
      <c r="J213" s="156"/>
      <c r="K213" s="156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 spans="1:26" x14ac:dyDescent="0.25">
      <c r="A214" s="1"/>
      <c r="B214" s="168"/>
      <c r="C214" s="1"/>
      <c r="D214" s="1"/>
      <c r="E214" s="1"/>
      <c r="F214" s="1"/>
      <c r="G214" s="1"/>
      <c r="H214" s="1"/>
      <c r="I214" s="156"/>
      <c r="J214" s="156"/>
      <c r="K214" s="156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 spans="1:26" x14ac:dyDescent="0.25">
      <c r="A215" s="1"/>
      <c r="B215" s="168"/>
      <c r="C215" s="1"/>
      <c r="D215" s="1"/>
      <c r="E215" s="1"/>
      <c r="F215" s="1"/>
      <c r="G215" s="1"/>
      <c r="H215" s="1"/>
      <c r="I215" s="156"/>
      <c r="J215" s="156"/>
      <c r="K215" s="156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 spans="1:26" x14ac:dyDescent="0.25">
      <c r="A216" s="1"/>
      <c r="B216" s="168"/>
      <c r="C216" s="1"/>
      <c r="D216" s="1"/>
      <c r="E216" s="1"/>
      <c r="F216" s="1"/>
      <c r="G216" s="1"/>
      <c r="H216" s="1"/>
      <c r="I216" s="156"/>
      <c r="J216" s="156"/>
      <c r="K216" s="156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 spans="1:26" x14ac:dyDescent="0.25">
      <c r="A217" s="1"/>
      <c r="B217" s="168"/>
      <c r="C217" s="1"/>
      <c r="D217" s="1"/>
      <c r="E217" s="1"/>
      <c r="F217" s="1"/>
      <c r="G217" s="1"/>
      <c r="H217" s="1"/>
      <c r="I217" s="156"/>
      <c r="J217" s="156"/>
      <c r="K217" s="156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 spans="1:26" x14ac:dyDescent="0.25">
      <c r="A218" s="1"/>
      <c r="B218" s="168"/>
      <c r="C218" s="1"/>
      <c r="D218" s="1"/>
      <c r="E218" s="1"/>
      <c r="F218" s="1"/>
      <c r="G218" s="1"/>
      <c r="H218" s="1"/>
      <c r="I218" s="156"/>
      <c r="J218" s="156"/>
      <c r="K218" s="156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 spans="1:26" x14ac:dyDescent="0.25">
      <c r="A219" s="1"/>
      <c r="B219" s="168"/>
      <c r="C219" s="1"/>
      <c r="D219" s="1"/>
      <c r="E219" s="1"/>
      <c r="F219" s="1"/>
      <c r="G219" s="1"/>
      <c r="H219" s="1"/>
      <c r="I219" s="156"/>
      <c r="J219" s="156"/>
      <c r="K219" s="156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 spans="1:26" x14ac:dyDescent="0.25">
      <c r="A220" s="1"/>
      <c r="B220" s="168"/>
      <c r="C220" s="1"/>
      <c r="D220" s="1"/>
      <c r="E220" s="1"/>
      <c r="F220" s="1"/>
      <c r="G220" s="1"/>
      <c r="H220" s="1"/>
      <c r="I220" s="156"/>
      <c r="J220" s="156"/>
      <c r="K220" s="156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 spans="1:26" x14ac:dyDescent="0.25">
      <c r="A221" s="1"/>
      <c r="B221" s="168"/>
      <c r="C221" s="1"/>
      <c r="D221" s="1"/>
      <c r="E221" s="1"/>
      <c r="F221" s="1"/>
      <c r="G221" s="1"/>
      <c r="H221" s="1"/>
      <c r="I221" s="156"/>
      <c r="J221" s="156"/>
      <c r="K221" s="156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 spans="1:26" x14ac:dyDescent="0.25">
      <c r="A222" s="1"/>
      <c r="B222" s="168"/>
      <c r="C222" s="1"/>
      <c r="D222" s="1"/>
      <c r="E222" s="1"/>
      <c r="F222" s="1"/>
      <c r="G222" s="1"/>
      <c r="H222" s="1"/>
      <c r="I222" s="156"/>
      <c r="J222" s="156"/>
      <c r="K222" s="156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 spans="1:26" x14ac:dyDescent="0.25">
      <c r="A223" s="1"/>
      <c r="B223" s="168"/>
      <c r="C223" s="1"/>
      <c r="D223" s="1"/>
      <c r="E223" s="1"/>
      <c r="F223" s="1"/>
      <c r="G223" s="1"/>
      <c r="H223" s="1"/>
      <c r="I223" s="156"/>
      <c r="J223" s="156"/>
      <c r="K223" s="156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 spans="1:26" x14ac:dyDescent="0.25">
      <c r="A224" s="1"/>
      <c r="B224" s="168"/>
      <c r="C224" s="1"/>
      <c r="D224" s="1"/>
      <c r="E224" s="1"/>
      <c r="F224" s="1"/>
      <c r="G224" s="1"/>
      <c r="H224" s="1"/>
      <c r="I224" s="156"/>
      <c r="J224" s="156"/>
      <c r="K224" s="156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 spans="1:26" x14ac:dyDescent="0.25">
      <c r="A225" s="1"/>
      <c r="B225" s="168"/>
      <c r="C225" s="1"/>
      <c r="D225" s="1"/>
      <c r="E225" s="1"/>
      <c r="F225" s="1"/>
      <c r="G225" s="1"/>
      <c r="H225" s="1"/>
      <c r="I225" s="156"/>
      <c r="J225" s="156"/>
      <c r="K225" s="156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 spans="1:26" x14ac:dyDescent="0.25">
      <c r="A226" s="1"/>
      <c r="B226" s="168"/>
      <c r="C226" s="1"/>
      <c r="D226" s="1"/>
      <c r="E226" s="1"/>
      <c r="F226" s="1"/>
      <c r="G226" s="1"/>
      <c r="H226" s="1"/>
      <c r="I226" s="156"/>
      <c r="J226" s="156"/>
      <c r="K226" s="156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 spans="1:26" x14ac:dyDescent="0.25">
      <c r="A227" s="1"/>
      <c r="B227" s="168"/>
      <c r="C227" s="1"/>
      <c r="D227" s="1"/>
      <c r="E227" s="1"/>
      <c r="F227" s="1"/>
      <c r="G227" s="1"/>
      <c r="H227" s="1"/>
      <c r="I227" s="156"/>
      <c r="J227" s="156"/>
      <c r="K227" s="156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 spans="1:26" x14ac:dyDescent="0.25">
      <c r="A228" s="1"/>
      <c r="B228" s="168"/>
      <c r="C228" s="1"/>
      <c r="D228" s="1"/>
      <c r="E228" s="1"/>
      <c r="F228" s="1"/>
      <c r="G228" s="1"/>
      <c r="H228" s="1"/>
      <c r="I228" s="156"/>
      <c r="J228" s="156"/>
      <c r="K228" s="156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 spans="1:26" x14ac:dyDescent="0.25">
      <c r="A229" s="1"/>
      <c r="B229" s="168"/>
      <c r="C229" s="1"/>
      <c r="D229" s="1"/>
      <c r="E229" s="1"/>
      <c r="F229" s="1"/>
      <c r="G229" s="1"/>
      <c r="H229" s="1"/>
      <c r="I229" s="156"/>
      <c r="J229" s="156"/>
      <c r="K229" s="156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 spans="1:26" x14ac:dyDescent="0.25">
      <c r="A230" s="1"/>
      <c r="B230" s="168"/>
      <c r="C230" s="1"/>
      <c r="D230" s="1"/>
      <c r="E230" s="1"/>
      <c r="F230" s="1"/>
      <c r="G230" s="1"/>
      <c r="H230" s="1"/>
      <c r="I230" s="156"/>
      <c r="J230" s="156"/>
      <c r="K230" s="156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 spans="1:26" x14ac:dyDescent="0.25">
      <c r="A231" s="1"/>
      <c r="B231" s="168"/>
      <c r="C231" s="1"/>
      <c r="D231" s="1"/>
      <c r="E231" s="1"/>
      <c r="F231" s="1"/>
      <c r="G231" s="1"/>
      <c r="H231" s="1"/>
      <c r="I231" s="156"/>
      <c r="J231" s="156"/>
      <c r="K231" s="156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 spans="1:26" x14ac:dyDescent="0.25">
      <c r="A232" s="1"/>
      <c r="B232" s="168"/>
      <c r="C232" s="1"/>
      <c r="D232" s="1"/>
      <c r="E232" s="1"/>
      <c r="F232" s="1"/>
      <c r="G232" s="1"/>
      <c r="H232" s="1"/>
      <c r="I232" s="156"/>
      <c r="J232" s="156"/>
      <c r="K232" s="156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 spans="1:26" x14ac:dyDescent="0.25">
      <c r="A233" s="1"/>
      <c r="B233" s="168"/>
      <c r="C233" s="1"/>
      <c r="D233" s="1"/>
      <c r="E233" s="1"/>
      <c r="F233" s="1"/>
      <c r="G233" s="1"/>
      <c r="H233" s="1"/>
      <c r="I233" s="156"/>
      <c r="J233" s="156"/>
      <c r="K233" s="156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 spans="1:26" x14ac:dyDescent="0.25">
      <c r="A234" s="1"/>
      <c r="B234" s="168"/>
      <c r="C234" s="1"/>
      <c r="D234" s="1"/>
      <c r="E234" s="1"/>
      <c r="F234" s="1"/>
      <c r="G234" s="1"/>
      <c r="H234" s="1"/>
      <c r="I234" s="156"/>
      <c r="J234" s="156"/>
      <c r="K234" s="156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 spans="1:26" x14ac:dyDescent="0.25">
      <c r="A235" s="1"/>
      <c r="B235" s="168"/>
      <c r="C235" s="1"/>
      <c r="D235" s="1"/>
      <c r="E235" s="1"/>
      <c r="F235" s="1"/>
      <c r="G235" s="1"/>
      <c r="H235" s="1"/>
      <c r="I235" s="156"/>
      <c r="J235" s="156"/>
      <c r="K235" s="156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 spans="1:26" x14ac:dyDescent="0.25">
      <c r="A236" s="1"/>
      <c r="B236" s="168"/>
      <c r="C236" s="1"/>
      <c r="D236" s="1"/>
      <c r="E236" s="1"/>
      <c r="F236" s="1"/>
      <c r="G236" s="1"/>
      <c r="H236" s="1"/>
      <c r="I236" s="156"/>
      <c r="J236" s="156"/>
      <c r="K236" s="156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 spans="1:26" x14ac:dyDescent="0.25">
      <c r="A237" s="1"/>
      <c r="B237" s="168"/>
      <c r="C237" s="1"/>
      <c r="D237" s="1"/>
      <c r="E237" s="1"/>
      <c r="F237" s="1"/>
      <c r="G237" s="1"/>
      <c r="H237" s="1"/>
      <c r="I237" s="156"/>
      <c r="J237" s="156"/>
      <c r="K237" s="156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 spans="1:26" x14ac:dyDescent="0.25">
      <c r="A238" s="1"/>
      <c r="B238" s="168"/>
      <c r="C238" s="1"/>
      <c r="D238" s="1"/>
      <c r="E238" s="1"/>
      <c r="F238" s="1"/>
      <c r="G238" s="1"/>
      <c r="H238" s="1"/>
      <c r="I238" s="156"/>
      <c r="J238" s="156"/>
      <c r="K238" s="156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 spans="1:26" x14ac:dyDescent="0.25">
      <c r="A239" s="1"/>
      <c r="B239" s="168"/>
      <c r="C239" s="1"/>
      <c r="D239" s="1"/>
      <c r="E239" s="1"/>
      <c r="F239" s="1"/>
      <c r="G239" s="1"/>
      <c r="H239" s="1"/>
      <c r="I239" s="156"/>
      <c r="J239" s="156"/>
      <c r="K239" s="156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 spans="1:26" x14ac:dyDescent="0.25">
      <c r="A240" s="1"/>
      <c r="B240" s="168"/>
      <c r="C240" s="1"/>
      <c r="D240" s="1"/>
      <c r="E240" s="1"/>
      <c r="F240" s="1"/>
      <c r="G240" s="1"/>
      <c r="H240" s="1"/>
      <c r="I240" s="156"/>
      <c r="J240" s="156"/>
      <c r="K240" s="156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 spans="1:26" x14ac:dyDescent="0.25">
      <c r="A241" s="1"/>
      <c r="B241" s="168"/>
      <c r="C241" s="1"/>
      <c r="D241" s="1"/>
      <c r="E241" s="1"/>
      <c r="F241" s="1"/>
      <c r="G241" s="1"/>
      <c r="H241" s="1"/>
      <c r="I241" s="156"/>
      <c r="J241" s="156"/>
      <c r="K241" s="156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 spans="1:26" x14ac:dyDescent="0.25">
      <c r="A242" s="1"/>
      <c r="B242" s="168"/>
      <c r="C242" s="1"/>
      <c r="D242" s="1"/>
      <c r="E242" s="1"/>
      <c r="F242" s="1"/>
      <c r="G242" s="1"/>
      <c r="H242" s="1"/>
      <c r="I242" s="156"/>
      <c r="J242" s="156"/>
      <c r="K242" s="156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 spans="1:26" x14ac:dyDescent="0.25">
      <c r="A243" s="1"/>
      <c r="B243" s="168"/>
      <c r="C243" s="1"/>
      <c r="D243" s="1"/>
      <c r="E243" s="1"/>
      <c r="F243" s="1"/>
      <c r="G243" s="1"/>
      <c r="H243" s="1"/>
      <c r="I243" s="156"/>
      <c r="J243" s="156"/>
      <c r="K243" s="156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 spans="1:26" x14ac:dyDescent="0.25">
      <c r="A244" s="1"/>
      <c r="B244" s="168"/>
      <c r="C244" s="1"/>
      <c r="D244" s="1"/>
      <c r="E244" s="1"/>
      <c r="F244" s="1"/>
      <c r="G244" s="1"/>
      <c r="H244" s="1"/>
      <c r="I244" s="156"/>
      <c r="J244" s="156"/>
      <c r="K244" s="156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6">
    <mergeCell ref="E2:F2"/>
    <mergeCell ref="I2:K2"/>
    <mergeCell ref="L2:O2"/>
    <mergeCell ref="B2:B3"/>
    <mergeCell ref="C2:C3"/>
    <mergeCell ref="D2:D3"/>
    <mergeCell ref="G2:G3"/>
    <mergeCell ref="H2:H3"/>
    <mergeCell ref="P2:P3"/>
    <mergeCell ref="B4:B5"/>
    <mergeCell ref="C4:C5"/>
    <mergeCell ref="D4:D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B6:K6"/>
    <mergeCell ref="B7:B11"/>
    <mergeCell ref="C7:C8"/>
    <mergeCell ref="D7:D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C9:C11"/>
    <mergeCell ref="D9:D11"/>
    <mergeCell ref="K9:K11"/>
    <mergeCell ref="L9:L11"/>
    <mergeCell ref="M9:M11"/>
    <mergeCell ref="N9:N11"/>
    <mergeCell ref="O9:O11"/>
    <mergeCell ref="P9:P11"/>
    <mergeCell ref="B12:K12"/>
    <mergeCell ref="B13:B24"/>
    <mergeCell ref="C13:C18"/>
    <mergeCell ref="D13:D18"/>
    <mergeCell ref="C19:C21"/>
    <mergeCell ref="D19:D21"/>
    <mergeCell ref="I19:I21"/>
    <mergeCell ref="J19:J21"/>
    <mergeCell ref="K19:K21"/>
    <mergeCell ref="L19:L21"/>
    <mergeCell ref="M19:M21"/>
    <mergeCell ref="N19:N21"/>
    <mergeCell ref="O19:O21"/>
    <mergeCell ref="P19:P21"/>
    <mergeCell ref="C22:C24"/>
    <mergeCell ref="D22:D24"/>
    <mergeCell ref="G22:G24"/>
    <mergeCell ref="H22:H24"/>
    <mergeCell ref="I22:I24"/>
    <mergeCell ref="J22:J24"/>
    <mergeCell ref="K22:K24"/>
    <mergeCell ref="L22:L24"/>
    <mergeCell ref="M22:M24"/>
    <mergeCell ref="N22:N24"/>
    <mergeCell ref="O22:O24"/>
    <mergeCell ref="P22:P24"/>
    <mergeCell ref="B25:K25"/>
    <mergeCell ref="B26:B34"/>
    <mergeCell ref="C26:C28"/>
    <mergeCell ref="D26:D28"/>
    <mergeCell ref="I26:I28"/>
    <mergeCell ref="J26:J28"/>
    <mergeCell ref="K26:K28"/>
    <mergeCell ref="L26:L28"/>
    <mergeCell ref="M26:M28"/>
    <mergeCell ref="N26:N28"/>
    <mergeCell ref="O26:O28"/>
    <mergeCell ref="P26:P28"/>
    <mergeCell ref="C29:C31"/>
    <mergeCell ref="D29:D31"/>
    <mergeCell ref="I29:I31"/>
    <mergeCell ref="J29:J31"/>
    <mergeCell ref="K29:K31"/>
    <mergeCell ref="L29:L31"/>
    <mergeCell ref="M29:M31"/>
    <mergeCell ref="N29:N31"/>
    <mergeCell ref="O29:O31"/>
    <mergeCell ref="P29:P31"/>
    <mergeCell ref="C32:C34"/>
    <mergeCell ref="D32:D34"/>
    <mergeCell ref="I32:I34"/>
    <mergeCell ref="J32:J34"/>
    <mergeCell ref="K32:K34"/>
    <mergeCell ref="L32:L34"/>
    <mergeCell ref="M32:M34"/>
    <mergeCell ref="N32:N34"/>
    <mergeCell ref="O32:O34"/>
    <mergeCell ref="P32:P34"/>
    <mergeCell ref="B35:K35"/>
    <mergeCell ref="B37:K37"/>
    <mergeCell ref="B38:K38"/>
    <mergeCell ref="C39:D39"/>
    <mergeCell ref="C40:D40"/>
  </mergeCells>
  <pageMargins left="0.7" right="0.7" top="0.75" bottom="0.75" header="0.3" footer="0.3"/>
  <pageSetup paperSize="8" orientation="landscape" horizontalDpi="4294967295" verticalDpi="4294967295" scale="60" fitToWidth="1" fitToHeight="1" firstPageNumber="1" useFirstPageNumber="1" copies="1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06"/>
  <sheetViews>
    <sheetView workbookViewId="0" zoomScale="55" zoomScaleNormal="55">
      <selection activeCell="D11" sqref="D11"/>
    </sheetView>
  </sheetViews>
  <sheetFormatPr defaultRowHeight="15" outlineLevelRow="0" outlineLevelCol="0" x14ac:dyDescent="0.35" defaultColWidth="14.453125"/>
  <cols>
    <col min="1" max="1" width="5" customWidth="1"/>
    <col min="2" max="2" width="17.26953125" customWidth="1"/>
    <col min="3" max="3" width="51.54296875" customWidth="1"/>
    <col min="4" max="4" width="47.7265625" customWidth="1"/>
    <col min="5" max="5" width="23.54296875" customWidth="1"/>
    <col min="6" max="6" width="21.26953125" style="169" customWidth="1"/>
    <col min="7" max="8" width="25" customWidth="1"/>
    <col min="9" max="10" width="21.453125" customWidth="1"/>
    <col min="11" max="11" width="20.26953125" customWidth="1"/>
    <col min="12" max="12" width="15.54296875" customWidth="1"/>
  </cols>
  <sheetData>
    <row r="1" ht="26.25" customHeight="1" spans="1:12" x14ac:dyDescent="0.25">
      <c r="A1" s="170"/>
      <c r="B1" s="171" t="s">
        <v>160</v>
      </c>
      <c r="C1" s="172"/>
      <c r="D1" s="172"/>
      <c r="E1" s="172"/>
      <c r="F1" s="173"/>
      <c r="G1" s="172"/>
      <c r="H1" s="172"/>
      <c r="I1" s="174"/>
      <c r="J1" s="175"/>
      <c r="K1" s="176"/>
      <c r="L1" s="177"/>
    </row>
    <row r="2" ht="36.75" customHeight="1" spans="1:12" x14ac:dyDescent="0.25">
      <c r="A2" s="178"/>
      <c r="B2" s="179" t="s">
        <v>161</v>
      </c>
      <c r="C2" s="180"/>
      <c r="D2" s="180"/>
      <c r="E2" s="180"/>
      <c r="F2" s="181"/>
      <c r="G2" s="181"/>
      <c r="H2" s="182" t="s">
        <v>162</v>
      </c>
      <c r="I2" s="183" t="s">
        <v>163</v>
      </c>
      <c r="J2" s="183"/>
      <c r="K2" s="184" t="s">
        <v>164</v>
      </c>
      <c r="L2" s="185"/>
    </row>
    <row r="3" ht="55.5" customHeight="1" spans="1:12" x14ac:dyDescent="0.25">
      <c r="A3" s="186" t="s">
        <v>165</v>
      </c>
      <c r="B3" s="187" t="s">
        <v>166</v>
      </c>
      <c r="C3" s="188" t="s">
        <v>167</v>
      </c>
      <c r="D3" s="187" t="s">
        <v>168</v>
      </c>
      <c r="E3" s="189" t="s">
        <v>169</v>
      </c>
      <c r="F3" s="190" t="s">
        <v>170</v>
      </c>
      <c r="G3" s="191" t="s">
        <v>171</v>
      </c>
      <c r="H3" s="192" t="s">
        <v>172</v>
      </c>
      <c r="I3" s="193" t="s">
        <v>173</v>
      </c>
      <c r="J3" s="193" t="s">
        <v>174</v>
      </c>
      <c r="K3" s="194" t="s">
        <v>175</v>
      </c>
      <c r="L3" s="193" t="s">
        <v>74</v>
      </c>
    </row>
    <row r="4" ht="26.25" customHeight="1" spans="1:12" x14ac:dyDescent="0.25">
      <c r="A4" s="195"/>
      <c r="B4" s="196"/>
      <c r="C4" s="197"/>
      <c r="D4" s="195"/>
      <c r="E4" s="198"/>
      <c r="F4" s="199"/>
      <c r="G4" s="199"/>
      <c r="H4" s="199"/>
      <c r="I4" s="198"/>
      <c r="J4" s="198"/>
      <c r="K4" s="198"/>
      <c r="L4" s="198"/>
    </row>
    <row r="5" ht="26.25" customHeight="1" spans="1:12" x14ac:dyDescent="0.25">
      <c r="A5" s="195"/>
      <c r="B5" s="200"/>
      <c r="C5" s="197"/>
      <c r="D5" s="195"/>
      <c r="E5" s="201"/>
      <c r="F5" s="202"/>
      <c r="G5" s="203"/>
      <c r="H5" s="201"/>
      <c r="I5" s="201"/>
      <c r="J5" s="201"/>
      <c r="K5" s="201"/>
      <c r="L5" s="201"/>
    </row>
    <row r="6" ht="26.25" customHeight="1" spans="1:12" x14ac:dyDescent="0.25">
      <c r="A6" s="195"/>
      <c r="B6" s="200"/>
      <c r="C6" s="197"/>
      <c r="D6" s="195"/>
      <c r="E6" s="201"/>
      <c r="F6" s="204"/>
      <c r="G6" s="199"/>
      <c r="H6" s="201"/>
      <c r="I6" s="201"/>
      <c r="J6" s="201"/>
      <c r="K6" s="201"/>
      <c r="L6" s="201"/>
    </row>
    <row r="7" ht="26.25" customHeight="1" spans="1:12" x14ac:dyDescent="0.25">
      <c r="A7" s="195"/>
      <c r="B7" s="200"/>
      <c r="C7" s="197"/>
      <c r="D7" s="195"/>
      <c r="E7" s="201"/>
      <c r="F7" s="203"/>
      <c r="G7" s="199"/>
      <c r="H7" s="201"/>
      <c r="I7" s="201"/>
      <c r="J7" s="201"/>
      <c r="K7" s="201"/>
      <c r="L7" s="201"/>
    </row>
    <row r="8" ht="26.25" customHeight="1" spans="1:12" x14ac:dyDescent="0.25">
      <c r="A8" s="195"/>
      <c r="B8" s="200"/>
      <c r="C8" s="197"/>
      <c r="D8" s="195"/>
      <c r="E8" s="201"/>
      <c r="F8" s="199"/>
      <c r="G8" s="199"/>
      <c r="H8" s="201"/>
      <c r="I8" s="201"/>
      <c r="J8" s="201"/>
      <c r="K8" s="201"/>
      <c r="L8" s="201"/>
    </row>
    <row r="9" ht="26.25" customHeight="1" spans="1:12" x14ac:dyDescent="0.25">
      <c r="A9" s="195"/>
      <c r="B9" s="200"/>
      <c r="C9" s="197"/>
      <c r="D9" s="195"/>
      <c r="E9" s="201"/>
      <c r="F9" s="199"/>
      <c r="G9" s="199"/>
      <c r="H9" s="201"/>
      <c r="I9" s="201"/>
      <c r="J9" s="201"/>
      <c r="K9" s="201"/>
      <c r="L9" s="201"/>
    </row>
    <row r="10" ht="26.25" customHeight="1" spans="1:12" x14ac:dyDescent="0.25">
      <c r="A10" s="195"/>
      <c r="B10" s="200"/>
      <c r="C10" s="197"/>
      <c r="D10" s="195"/>
      <c r="E10" s="201"/>
      <c r="F10" s="199"/>
      <c r="G10" s="199"/>
      <c r="H10" s="201"/>
      <c r="I10" s="201"/>
      <c r="J10" s="201"/>
      <c r="K10" s="201"/>
      <c r="L10" s="201"/>
    </row>
    <row r="11" ht="26.25" customHeight="1" spans="1:12" x14ac:dyDescent="0.25">
      <c r="A11" s="195"/>
      <c r="B11" s="200"/>
      <c r="C11" s="197"/>
      <c r="D11" s="195"/>
      <c r="E11" s="201"/>
      <c r="F11" s="204"/>
      <c r="G11" s="199"/>
      <c r="H11" s="201"/>
      <c r="I11" s="201"/>
      <c r="J11" s="201"/>
      <c r="K11" s="201"/>
      <c r="L11" s="201"/>
    </row>
    <row r="12" ht="26.25" customHeight="1" spans="1:12" x14ac:dyDescent="0.25">
      <c r="A12" s="195"/>
      <c r="B12" s="200"/>
      <c r="C12" s="205"/>
      <c r="D12" s="195"/>
      <c r="E12" s="201"/>
      <c r="F12" s="199"/>
      <c r="G12" s="199"/>
      <c r="H12" s="201"/>
      <c r="I12" s="201"/>
      <c r="J12" s="201"/>
      <c r="K12" s="201"/>
      <c r="L12" s="201"/>
    </row>
    <row r="13" ht="26.25" customHeight="1" spans="1:12" x14ac:dyDescent="0.25">
      <c r="A13" s="195"/>
      <c r="B13" s="200"/>
      <c r="C13" s="197"/>
      <c r="D13" s="195"/>
      <c r="E13" s="201"/>
      <c r="F13" s="199"/>
      <c r="G13" s="199"/>
      <c r="H13" s="201"/>
      <c r="I13" s="201"/>
      <c r="J13" s="201"/>
      <c r="K13" s="201"/>
      <c r="L13" s="201"/>
    </row>
    <row r="14" ht="26.25" customHeight="1" spans="1:12" x14ac:dyDescent="0.25">
      <c r="A14" s="195"/>
      <c r="B14" s="200"/>
      <c r="C14" s="197"/>
      <c r="D14" s="195"/>
      <c r="E14" s="201"/>
      <c r="F14" s="199"/>
      <c r="G14" s="199"/>
      <c r="H14" s="201"/>
      <c r="I14" s="201"/>
      <c r="J14" s="201"/>
      <c r="K14" s="201"/>
      <c r="L14" s="201"/>
    </row>
    <row r="15" ht="26.25" customHeight="1" spans="1:12" x14ac:dyDescent="0.25">
      <c r="A15" s="195"/>
      <c r="B15" s="200"/>
      <c r="C15" s="197"/>
      <c r="D15" s="195"/>
      <c r="E15" s="201"/>
      <c r="F15" s="199"/>
      <c r="G15" s="199"/>
      <c r="H15" s="201"/>
      <c r="I15" s="201"/>
      <c r="J15" s="201"/>
      <c r="K15" s="201"/>
      <c r="L15" s="201"/>
    </row>
    <row r="16" ht="26.25" customHeight="1" spans="1:12" x14ac:dyDescent="0.25">
      <c r="A16" s="195"/>
      <c r="B16" s="200"/>
      <c r="C16" s="197"/>
      <c r="D16" s="195"/>
      <c r="E16" s="201"/>
      <c r="F16" s="199"/>
      <c r="G16" s="199"/>
      <c r="H16" s="201"/>
      <c r="I16" s="201"/>
      <c r="J16" s="201"/>
      <c r="K16" s="201"/>
      <c r="L16" s="201"/>
    </row>
    <row r="17" ht="26.25" customHeight="1" spans="1:12" x14ac:dyDescent="0.25">
      <c r="A17" s="195"/>
      <c r="B17" s="200"/>
      <c r="C17" s="197"/>
      <c r="D17" s="195"/>
      <c r="E17" s="201"/>
      <c r="F17" s="199"/>
      <c r="G17" s="199"/>
      <c r="H17" s="201"/>
      <c r="I17" s="201"/>
      <c r="J17" s="201"/>
      <c r="K17" s="201"/>
      <c r="L17" s="201"/>
    </row>
    <row r="18" ht="26.25" customHeight="1" spans="1:12" x14ac:dyDescent="0.25">
      <c r="A18" s="195"/>
      <c r="B18" s="200"/>
      <c r="C18" s="197"/>
      <c r="D18" s="195"/>
      <c r="E18" s="201"/>
      <c r="F18" s="204"/>
      <c r="G18" s="199"/>
      <c r="H18" s="201"/>
      <c r="I18" s="201"/>
      <c r="J18" s="201"/>
      <c r="K18" s="201"/>
      <c r="L18" s="201"/>
    </row>
    <row r="19" ht="26.25" customHeight="1" spans="1:12" x14ac:dyDescent="0.25">
      <c r="A19" s="195"/>
      <c r="B19" s="200"/>
      <c r="C19" s="197"/>
      <c r="D19" s="195"/>
      <c r="E19" s="201"/>
      <c r="F19" s="199"/>
      <c r="G19" s="199"/>
      <c r="H19" s="201"/>
      <c r="I19" s="201"/>
      <c r="J19" s="201"/>
      <c r="K19" s="201"/>
      <c r="L19" s="201"/>
    </row>
    <row r="20" ht="26.25" customHeight="1" spans="1:12" x14ac:dyDescent="0.25">
      <c r="A20" s="195"/>
      <c r="B20" s="200"/>
      <c r="C20" s="197"/>
      <c r="D20" s="195"/>
      <c r="E20" s="201"/>
      <c r="F20" s="199"/>
      <c r="G20" s="199"/>
      <c r="H20" s="201"/>
      <c r="I20" s="201"/>
      <c r="J20" s="201"/>
      <c r="K20" s="201"/>
      <c r="L20" s="201"/>
    </row>
    <row r="21" ht="26.25" customHeight="1" spans="1:12" x14ac:dyDescent="0.25">
      <c r="A21" s="195"/>
      <c r="B21" s="200"/>
      <c r="C21" s="197"/>
      <c r="D21" s="195"/>
      <c r="E21" s="201"/>
      <c r="F21" s="204"/>
      <c r="G21" s="199"/>
      <c r="H21" s="201"/>
      <c r="I21" s="201"/>
      <c r="J21" s="201"/>
      <c r="K21" s="201"/>
      <c r="L21" s="201"/>
    </row>
    <row r="22" ht="26.25" customHeight="1" spans="1:12" x14ac:dyDescent="0.25">
      <c r="A22" s="195"/>
      <c r="B22" s="200"/>
      <c r="C22" s="197"/>
      <c r="D22" s="195"/>
      <c r="E22" s="201"/>
      <c r="F22" s="199"/>
      <c r="G22" s="199"/>
      <c r="H22" s="201"/>
      <c r="I22" s="201"/>
      <c r="J22" s="201"/>
      <c r="K22" s="201"/>
      <c r="L22" s="201"/>
    </row>
    <row r="23" ht="26.25" customHeight="1" spans="1:12" x14ac:dyDescent="0.25">
      <c r="A23" s="195"/>
      <c r="B23" s="200"/>
      <c r="C23" s="197"/>
      <c r="D23" s="195"/>
      <c r="E23" s="201"/>
      <c r="F23" s="204"/>
      <c r="G23" s="199"/>
      <c r="H23" s="201"/>
      <c r="I23" s="201"/>
      <c r="J23" s="201"/>
      <c r="K23" s="201"/>
      <c r="L23" s="201"/>
    </row>
    <row r="24" ht="26.25" customHeight="1" spans="1:12" x14ac:dyDescent="0.25">
      <c r="A24" s="195"/>
      <c r="B24" s="200"/>
      <c r="C24" s="197"/>
      <c r="D24" s="195"/>
      <c r="E24" s="201"/>
      <c r="F24" s="199"/>
      <c r="G24" s="199"/>
      <c r="H24" s="201"/>
      <c r="I24" s="201"/>
      <c r="J24" s="201"/>
      <c r="K24" s="201"/>
      <c r="L24" s="201"/>
    </row>
    <row r="25" ht="26.25" customHeight="1" spans="1:12" x14ac:dyDescent="0.25">
      <c r="A25" s="195"/>
      <c r="B25" s="200"/>
      <c r="C25" s="197"/>
      <c r="D25" s="195"/>
      <c r="E25" s="201"/>
      <c r="F25" s="199"/>
      <c r="G25" s="199"/>
      <c r="H25" s="201"/>
      <c r="I25" s="201"/>
      <c r="J25" s="201"/>
      <c r="K25" s="201"/>
      <c r="L25" s="201"/>
    </row>
    <row r="26" ht="26.25" customHeight="1" spans="1:12" x14ac:dyDescent="0.25">
      <c r="A26" s="195"/>
      <c r="B26" s="200"/>
      <c r="C26" s="206"/>
      <c r="D26" s="195"/>
      <c r="E26" s="201"/>
      <c r="F26" s="199"/>
      <c r="G26" s="199"/>
      <c r="H26" s="201"/>
      <c r="I26" s="201"/>
      <c r="J26" s="201"/>
      <c r="K26" s="201"/>
      <c r="L26" s="201"/>
    </row>
    <row r="27" ht="26.25" customHeight="1" spans="1:12" x14ac:dyDescent="0.25">
      <c r="A27" s="195"/>
      <c r="B27" s="200"/>
      <c r="C27" s="206"/>
      <c r="D27" s="195"/>
      <c r="E27" s="201"/>
      <c r="F27" s="199"/>
      <c r="G27" s="199"/>
      <c r="H27" s="201"/>
      <c r="I27" s="201"/>
      <c r="J27" s="201"/>
      <c r="K27" s="201"/>
      <c r="L27" s="201"/>
    </row>
    <row r="28" ht="26.25" customHeight="1" spans="1:12" x14ac:dyDescent="0.25">
      <c r="A28" s="195"/>
      <c r="B28" s="200"/>
      <c r="C28" s="206"/>
      <c r="D28" s="195"/>
      <c r="E28" s="201"/>
      <c r="F28" s="199"/>
      <c r="G28" s="199"/>
      <c r="H28" s="201"/>
      <c r="I28" s="201"/>
      <c r="J28" s="201"/>
      <c r="K28" s="201"/>
      <c r="L28" s="201"/>
    </row>
    <row r="29" ht="26.25" customHeight="1" spans="1:12" x14ac:dyDescent="0.25">
      <c r="A29" s="195"/>
      <c r="B29" s="200"/>
      <c r="C29" s="206"/>
      <c r="D29" s="195"/>
      <c r="E29" s="201"/>
      <c r="F29" s="204"/>
      <c r="G29" s="199"/>
      <c r="H29" s="201"/>
      <c r="I29" s="201"/>
      <c r="J29" s="201"/>
      <c r="K29" s="201"/>
      <c r="L29" s="201"/>
    </row>
    <row r="30" ht="26.25" customHeight="1" spans="1:12" x14ac:dyDescent="0.25">
      <c r="A30" s="195"/>
      <c r="B30" s="200"/>
      <c r="C30" s="206"/>
      <c r="D30" s="195"/>
      <c r="E30" s="201"/>
      <c r="F30" s="204"/>
      <c r="G30" s="199"/>
      <c r="H30" s="201"/>
      <c r="I30" s="201"/>
      <c r="J30" s="201"/>
      <c r="K30" s="201"/>
      <c r="L30" s="201"/>
    </row>
    <row r="31" ht="26.25" customHeight="1" spans="1:12" x14ac:dyDescent="0.25">
      <c r="A31" s="195"/>
      <c r="B31" s="200"/>
      <c r="C31" s="206"/>
      <c r="D31" s="195"/>
      <c r="E31" s="201"/>
      <c r="F31" s="199"/>
      <c r="G31" s="201"/>
      <c r="H31" s="201"/>
      <c r="I31" s="201"/>
      <c r="J31" s="201"/>
      <c r="K31" s="201"/>
      <c r="L31" s="201"/>
    </row>
    <row r="32" ht="26.25" customHeight="1" spans="1:12" x14ac:dyDescent="0.25">
      <c r="A32" s="195"/>
      <c r="B32" s="200"/>
      <c r="C32" s="206"/>
      <c r="D32" s="195"/>
      <c r="E32" s="201"/>
      <c r="F32" s="199"/>
      <c r="G32" s="201"/>
      <c r="H32" s="201"/>
      <c r="I32" s="201"/>
      <c r="J32" s="201"/>
      <c r="K32" s="201"/>
      <c r="L32" s="201"/>
    </row>
    <row r="33" ht="26.25" customHeight="1" spans="1:12" x14ac:dyDescent="0.25">
      <c r="A33" s="195"/>
      <c r="B33" s="200"/>
      <c r="C33" s="206"/>
      <c r="D33" s="195"/>
      <c r="E33" s="201"/>
      <c r="F33" s="199"/>
      <c r="G33" s="201"/>
      <c r="H33" s="201"/>
      <c r="I33" s="201"/>
      <c r="J33" s="201"/>
      <c r="K33" s="201"/>
      <c r="L33" s="201"/>
    </row>
    <row r="34" ht="26.25" customHeight="1" spans="1:12" x14ac:dyDescent="0.25">
      <c r="A34" s="195"/>
      <c r="B34" s="200"/>
      <c r="C34" s="206"/>
      <c r="D34" s="195"/>
      <c r="E34" s="201"/>
      <c r="F34" s="199"/>
      <c r="G34" s="201"/>
      <c r="H34" s="201"/>
      <c r="I34" s="201"/>
      <c r="J34" s="201"/>
      <c r="K34" s="201"/>
      <c r="L34" s="201"/>
    </row>
    <row r="35" ht="26.25" customHeight="1" spans="1:12" x14ac:dyDescent="0.25">
      <c r="A35" s="195"/>
      <c r="B35" s="200"/>
      <c r="C35" s="206"/>
      <c r="D35" s="195"/>
      <c r="E35" s="201"/>
      <c r="F35" s="199"/>
      <c r="G35" s="201"/>
      <c r="H35" s="201"/>
      <c r="I35" s="201"/>
      <c r="J35" s="201"/>
      <c r="K35" s="201"/>
      <c r="L35" s="201"/>
    </row>
    <row r="36" ht="26.25" customHeight="1" spans="1:12" x14ac:dyDescent="0.25">
      <c r="A36" s="195"/>
      <c r="B36" s="200"/>
      <c r="C36" s="206"/>
      <c r="D36" s="195"/>
      <c r="E36" s="201"/>
      <c r="F36" s="204"/>
      <c r="G36" s="201"/>
      <c r="H36" s="201"/>
      <c r="I36" s="201"/>
      <c r="J36" s="201"/>
      <c r="K36" s="201"/>
      <c r="L36" s="201"/>
    </row>
    <row r="37" ht="26.25" customHeight="1" spans="1:12" x14ac:dyDescent="0.25">
      <c r="A37" s="195"/>
      <c r="B37" s="200"/>
      <c r="C37" s="206"/>
      <c r="D37" s="195"/>
      <c r="E37" s="201"/>
      <c r="F37" s="199"/>
      <c r="G37" s="201"/>
      <c r="H37" s="201"/>
      <c r="I37" s="201"/>
      <c r="J37" s="201"/>
      <c r="K37" s="201"/>
      <c r="L37" s="201"/>
    </row>
    <row r="38" ht="26.25" customHeight="1" spans="1:12" x14ac:dyDescent="0.25">
      <c r="A38" s="195"/>
      <c r="B38" s="200"/>
      <c r="C38" s="206"/>
      <c r="D38" s="195"/>
      <c r="E38" s="201"/>
      <c r="F38" s="199"/>
      <c r="G38" s="201"/>
      <c r="H38" s="201"/>
      <c r="I38" s="201"/>
      <c r="J38" s="201"/>
      <c r="K38" s="201"/>
      <c r="L38" s="201"/>
    </row>
    <row r="39" ht="26.25" customHeight="1" spans="1:12" x14ac:dyDescent="0.25">
      <c r="A39" s="195"/>
      <c r="B39" s="200"/>
      <c r="C39" s="206"/>
      <c r="D39" s="195"/>
      <c r="E39" s="201"/>
      <c r="F39" s="199"/>
      <c r="G39" s="201"/>
      <c r="H39" s="201"/>
      <c r="I39" s="201"/>
      <c r="J39" s="201"/>
      <c r="K39" s="201"/>
      <c r="L39" s="201"/>
    </row>
    <row r="40" ht="26.25" customHeight="1" spans="1:12" x14ac:dyDescent="0.25">
      <c r="A40" s="195"/>
      <c r="B40" s="200"/>
      <c r="C40" s="206"/>
      <c r="D40" s="195"/>
      <c r="E40" s="201"/>
      <c r="F40" s="199"/>
      <c r="G40" s="201"/>
      <c r="H40" s="201"/>
      <c r="I40" s="201"/>
      <c r="J40" s="201"/>
      <c r="K40" s="201"/>
      <c r="L40" s="201"/>
    </row>
    <row r="41" ht="26.25" customHeight="1" spans="1:12" x14ac:dyDescent="0.25">
      <c r="A41" s="195"/>
      <c r="B41" s="200"/>
      <c r="C41" s="207"/>
      <c r="D41" s="195"/>
      <c r="E41" s="201"/>
      <c r="F41" s="199"/>
      <c r="G41" s="201"/>
      <c r="H41" s="201"/>
      <c r="I41" s="201"/>
      <c r="J41" s="201"/>
      <c r="K41" s="201"/>
      <c r="L41" s="201"/>
    </row>
    <row r="42" ht="26.25" customHeight="1" spans="1:12" x14ac:dyDescent="0.25">
      <c r="A42" s="195"/>
      <c r="B42" s="200"/>
      <c r="C42" s="207"/>
      <c r="D42" s="195"/>
      <c r="E42" s="201"/>
      <c r="F42" s="199"/>
      <c r="G42" s="199"/>
      <c r="H42" s="201"/>
      <c r="I42" s="201"/>
      <c r="J42" s="201"/>
      <c r="K42" s="201"/>
      <c r="L42" s="201"/>
    </row>
    <row r="43" ht="26.25" customHeight="1" spans="1:12" x14ac:dyDescent="0.25">
      <c r="A43" s="195"/>
      <c r="B43" s="200"/>
      <c r="C43" s="207"/>
      <c r="D43" s="195"/>
      <c r="E43" s="201"/>
      <c r="F43" s="199"/>
      <c r="G43" s="199"/>
      <c r="H43" s="201"/>
      <c r="I43" s="201"/>
      <c r="J43" s="201"/>
      <c r="K43" s="201"/>
      <c r="L43" s="201"/>
    </row>
    <row r="44" ht="26.25" customHeight="1" spans="1:12" x14ac:dyDescent="0.25">
      <c r="A44" s="195"/>
      <c r="B44" s="200"/>
      <c r="C44" s="206"/>
      <c r="D44" s="195"/>
      <c r="E44" s="201"/>
      <c r="F44" s="199"/>
      <c r="G44" s="199"/>
      <c r="H44" s="201"/>
      <c r="I44" s="201"/>
      <c r="J44" s="201"/>
      <c r="K44" s="201"/>
      <c r="L44" s="201"/>
    </row>
    <row r="45" ht="26.25" customHeight="1" spans="1:12" x14ac:dyDescent="0.25">
      <c r="A45" s="195"/>
      <c r="B45" s="200"/>
      <c r="C45" s="206"/>
      <c r="D45" s="195"/>
      <c r="E45" s="201"/>
      <c r="F45" s="199"/>
      <c r="G45" s="199"/>
      <c r="H45" s="201"/>
      <c r="I45" s="201"/>
      <c r="J45" s="201"/>
      <c r="K45" s="201"/>
      <c r="L45" s="201"/>
    </row>
    <row r="46" ht="26.25" customHeight="1" spans="1:12" x14ac:dyDescent="0.25">
      <c r="A46" s="195"/>
      <c r="B46" s="200"/>
      <c r="C46" s="207"/>
      <c r="D46" s="195"/>
      <c r="E46" s="201"/>
      <c r="F46" s="199"/>
      <c r="G46" s="199"/>
      <c r="H46" s="201"/>
      <c r="I46" s="201"/>
      <c r="J46" s="201"/>
      <c r="K46" s="201"/>
      <c r="L46" s="201"/>
    </row>
    <row r="47" ht="26.25" customHeight="1" spans="1:12" x14ac:dyDescent="0.25">
      <c r="A47" s="195"/>
      <c r="B47" s="200"/>
      <c r="C47" s="206"/>
      <c r="D47" s="195"/>
      <c r="E47" s="201"/>
      <c r="F47" s="199"/>
      <c r="G47" s="201"/>
      <c r="H47" s="201"/>
      <c r="I47" s="201"/>
      <c r="J47" s="201"/>
      <c r="K47" s="201"/>
      <c r="L47" s="201"/>
    </row>
    <row r="48" ht="26.25" customHeight="1" spans="1:12" x14ac:dyDescent="0.25">
      <c r="A48" s="195"/>
      <c r="B48" s="200"/>
      <c r="C48" s="206"/>
      <c r="D48" s="195"/>
      <c r="E48" s="201"/>
      <c r="F48" s="199"/>
      <c r="G48" s="201"/>
      <c r="H48" s="201"/>
      <c r="I48" s="201"/>
      <c r="J48" s="201"/>
      <c r="K48" s="201"/>
      <c r="L48" s="201"/>
    </row>
    <row r="49" ht="26.25" customHeight="1" spans="1:12" x14ac:dyDescent="0.25">
      <c r="A49" s="195"/>
      <c r="B49" s="200"/>
      <c r="C49" s="206"/>
      <c r="D49" s="195"/>
      <c r="E49" s="201"/>
      <c r="F49" s="199"/>
      <c r="G49" s="201"/>
      <c r="H49" s="201"/>
      <c r="I49" s="201"/>
      <c r="J49" s="201"/>
      <c r="K49" s="201"/>
      <c r="L49" s="201"/>
    </row>
    <row r="50" ht="26.25" customHeight="1" spans="1:12" x14ac:dyDescent="0.25">
      <c r="A50" s="195"/>
      <c r="B50" s="200"/>
      <c r="C50" s="206"/>
      <c r="D50" s="195"/>
      <c r="E50" s="201"/>
      <c r="F50" s="199"/>
      <c r="G50" s="201"/>
      <c r="H50" s="201"/>
      <c r="I50" s="201"/>
      <c r="J50" s="201"/>
      <c r="K50" s="201"/>
      <c r="L50" s="201"/>
    </row>
    <row r="51" ht="26.25" customHeight="1" spans="1:12" x14ac:dyDescent="0.25">
      <c r="A51" s="195"/>
      <c r="B51" s="200"/>
      <c r="C51" s="206"/>
      <c r="D51" s="195"/>
      <c r="E51" s="201"/>
      <c r="F51" s="199"/>
      <c r="G51" s="201"/>
      <c r="H51" s="201"/>
      <c r="I51" s="201"/>
      <c r="J51" s="201"/>
      <c r="K51" s="201"/>
      <c r="L51" s="201"/>
    </row>
    <row r="52" ht="26.25" customHeight="1" spans="1:12" x14ac:dyDescent="0.25">
      <c r="A52" s="195"/>
      <c r="B52" s="200"/>
      <c r="C52" s="206"/>
      <c r="D52" s="195"/>
      <c r="E52" s="201"/>
      <c r="F52" s="199"/>
      <c r="G52" s="201"/>
      <c r="H52" s="201"/>
      <c r="I52" s="201"/>
      <c r="J52" s="201"/>
      <c r="K52" s="201"/>
      <c r="L52" s="201"/>
    </row>
    <row r="53" ht="26.25" customHeight="1" spans="1:12" x14ac:dyDescent="0.25">
      <c r="A53" s="195"/>
      <c r="B53" s="200"/>
      <c r="C53" s="206"/>
      <c r="D53" s="195"/>
      <c r="E53" s="201"/>
      <c r="F53" s="199"/>
      <c r="G53" s="201"/>
      <c r="H53" s="201"/>
      <c r="I53" s="201"/>
      <c r="J53" s="201"/>
      <c r="K53" s="201"/>
      <c r="L53" s="201"/>
    </row>
    <row r="54" ht="26.25" customHeight="1" spans="1:12" x14ac:dyDescent="0.25">
      <c r="A54" s="195"/>
      <c r="B54" s="200"/>
      <c r="C54" s="206"/>
      <c r="D54" s="195"/>
      <c r="E54" s="201"/>
      <c r="F54" s="199"/>
      <c r="G54" s="201"/>
      <c r="H54" s="201"/>
      <c r="I54" s="201"/>
      <c r="J54" s="201"/>
      <c r="K54" s="201"/>
      <c r="L54" s="201"/>
    </row>
    <row r="55" ht="26.25" customHeight="1" spans="1:12" x14ac:dyDescent="0.25">
      <c r="A55" s="195"/>
      <c r="B55" s="200"/>
      <c r="C55" s="206"/>
      <c r="D55" s="195"/>
      <c r="E55" s="201"/>
      <c r="F55" s="199"/>
      <c r="G55" s="201"/>
      <c r="H55" s="201"/>
      <c r="I55" s="201"/>
      <c r="J55" s="201"/>
      <c r="K55" s="201"/>
      <c r="L55" s="201"/>
    </row>
    <row r="56" ht="26.25" customHeight="1" spans="1:12" x14ac:dyDescent="0.25">
      <c r="A56" s="195"/>
      <c r="B56" s="200"/>
      <c r="C56" s="206"/>
      <c r="D56" s="195"/>
      <c r="E56" s="201"/>
      <c r="F56" s="199"/>
      <c r="G56" s="201"/>
      <c r="H56" s="201"/>
      <c r="I56" s="201"/>
      <c r="J56" s="201"/>
      <c r="K56" s="201"/>
      <c r="L56" s="201"/>
    </row>
    <row r="57" ht="26.25" customHeight="1" spans="1:12" x14ac:dyDescent="0.25">
      <c r="A57" s="195"/>
      <c r="B57" s="200"/>
      <c r="C57" s="206"/>
      <c r="D57" s="195"/>
      <c r="E57" s="201"/>
      <c r="F57" s="199"/>
      <c r="G57" s="201"/>
      <c r="H57" s="201"/>
      <c r="I57" s="201"/>
      <c r="J57" s="201"/>
      <c r="K57" s="201"/>
      <c r="L57" s="201"/>
    </row>
    <row r="58" ht="26.25" customHeight="1" spans="1:12" x14ac:dyDescent="0.25">
      <c r="A58" s="195"/>
      <c r="B58" s="200"/>
      <c r="C58" s="207"/>
      <c r="D58" s="195"/>
      <c r="E58" s="201"/>
      <c r="F58" s="199"/>
      <c r="G58" s="201"/>
      <c r="H58" s="201"/>
      <c r="I58" s="201"/>
      <c r="J58" s="201"/>
      <c r="K58" s="201"/>
      <c r="L58" s="201"/>
    </row>
    <row r="59" ht="26.25" customHeight="1" spans="1:12" x14ac:dyDescent="0.25">
      <c r="A59" s="195"/>
      <c r="B59" s="200"/>
      <c r="C59" s="207"/>
      <c r="D59" s="195"/>
      <c r="E59" s="201"/>
      <c r="F59" s="199"/>
      <c r="G59" s="201"/>
      <c r="H59" s="201"/>
      <c r="I59" s="201"/>
      <c r="J59" s="201"/>
      <c r="K59" s="201"/>
      <c r="L59" s="201"/>
    </row>
    <row r="60" ht="26.25" customHeight="1" spans="1:12" x14ac:dyDescent="0.25">
      <c r="A60" s="195"/>
      <c r="B60" s="200"/>
      <c r="C60" s="206"/>
      <c r="D60" s="195"/>
      <c r="E60" s="201"/>
      <c r="F60" s="199"/>
      <c r="G60" s="201"/>
      <c r="H60" s="201"/>
      <c r="I60" s="201"/>
      <c r="J60" s="201"/>
      <c r="K60" s="201"/>
      <c r="L60" s="201"/>
    </row>
    <row r="61" ht="26.25" customHeight="1" spans="1:12" x14ac:dyDescent="0.25">
      <c r="A61" s="195"/>
      <c r="B61" s="200"/>
      <c r="C61" s="206"/>
      <c r="D61" s="195"/>
      <c r="E61" s="201"/>
      <c r="F61" s="199"/>
      <c r="G61" s="201"/>
      <c r="H61" s="201"/>
      <c r="I61" s="201"/>
      <c r="J61" s="201"/>
      <c r="K61" s="201"/>
      <c r="L61" s="201"/>
    </row>
    <row r="62" ht="26.25" customHeight="1" spans="1:12" x14ac:dyDescent="0.25">
      <c r="A62" s="195"/>
      <c r="B62" s="200"/>
      <c r="C62" s="207"/>
      <c r="D62" s="195"/>
      <c r="E62" s="201"/>
      <c r="F62" s="199"/>
      <c r="G62" s="201"/>
      <c r="H62" s="201"/>
      <c r="I62" s="201"/>
      <c r="J62" s="201"/>
      <c r="K62" s="201"/>
      <c r="L62" s="201"/>
    </row>
    <row r="63" ht="26.25" customHeight="1" spans="1:12" x14ac:dyDescent="0.25">
      <c r="A63" s="195"/>
      <c r="B63" s="200"/>
      <c r="C63" s="207"/>
      <c r="D63" s="195"/>
      <c r="E63" s="201"/>
      <c r="F63" s="199"/>
      <c r="G63" s="201"/>
      <c r="H63" s="201"/>
      <c r="I63" s="201"/>
      <c r="J63" s="201"/>
      <c r="K63" s="201"/>
      <c r="L63" s="201"/>
    </row>
    <row r="64" ht="13.5" customHeight="1" spans="1:12" x14ac:dyDescent="0.25">
      <c r="A64" s="195"/>
      <c r="B64" s="200"/>
      <c r="C64" s="195"/>
      <c r="D64" s="195"/>
      <c r="E64" s="201"/>
      <c r="F64" s="204"/>
      <c r="G64" s="201"/>
      <c r="H64" s="201"/>
      <c r="I64" s="201"/>
      <c r="J64" s="201"/>
      <c r="K64" s="201"/>
      <c r="L64" s="201"/>
    </row>
    <row r="65" ht="13.5" customHeight="1" spans="1:12" x14ac:dyDescent="0.25">
      <c r="A65" s="195"/>
      <c r="B65" s="200"/>
      <c r="C65" s="206"/>
      <c r="D65" s="195"/>
      <c r="E65" s="201"/>
      <c r="F65" s="203"/>
      <c r="G65" s="201"/>
      <c r="H65" s="201"/>
      <c r="I65" s="201"/>
      <c r="J65" s="201"/>
      <c r="K65" s="201"/>
      <c r="L65" s="201"/>
    </row>
    <row r="66" ht="13.5" customHeight="1" spans="1:12" x14ac:dyDescent="0.25">
      <c r="A66" s="195"/>
      <c r="B66" s="200"/>
      <c r="C66" s="206"/>
      <c r="D66" s="195"/>
      <c r="E66" s="201"/>
      <c r="F66" s="203"/>
      <c r="G66" s="201"/>
      <c r="H66" s="201"/>
      <c r="I66" s="201"/>
      <c r="J66" s="201"/>
      <c r="K66" s="201"/>
      <c r="L66" s="201"/>
    </row>
    <row r="67" ht="13.5" customHeight="1" spans="1:12" x14ac:dyDescent="0.25">
      <c r="A67" s="195"/>
      <c r="B67" s="200"/>
      <c r="C67" s="206"/>
      <c r="D67" s="195"/>
      <c r="E67" s="201"/>
      <c r="F67" s="203"/>
      <c r="G67" s="201"/>
      <c r="H67" s="201"/>
      <c r="I67" s="201"/>
      <c r="J67" s="201"/>
      <c r="K67" s="201"/>
      <c r="L67" s="201"/>
    </row>
    <row r="68" ht="13.5" customHeight="1" spans="1:12" x14ac:dyDescent="0.25">
      <c r="A68" s="195"/>
      <c r="B68" s="200"/>
      <c r="C68" s="206"/>
      <c r="D68" s="195"/>
      <c r="E68" s="201"/>
      <c r="F68" s="203"/>
      <c r="G68" s="201"/>
      <c r="H68" s="201"/>
      <c r="I68" s="201"/>
      <c r="J68" s="201"/>
      <c r="K68" s="201"/>
      <c r="L68" s="201"/>
    </row>
    <row r="69" ht="13.5" customHeight="1" spans="1:12" x14ac:dyDescent="0.25">
      <c r="A69" s="195"/>
      <c r="B69" s="200"/>
      <c r="C69" s="206"/>
      <c r="D69" s="195"/>
      <c r="E69" s="201"/>
      <c r="F69" s="203"/>
      <c r="G69" s="201"/>
      <c r="H69" s="201"/>
      <c r="I69" s="201"/>
      <c r="J69" s="201"/>
      <c r="K69" s="201"/>
      <c r="L69" s="201"/>
    </row>
    <row r="70" ht="13.5" customHeight="1" spans="1:12" x14ac:dyDescent="0.25">
      <c r="A70" s="195"/>
      <c r="B70" s="200"/>
      <c r="C70" s="206"/>
      <c r="D70" s="195"/>
      <c r="E70" s="201"/>
      <c r="F70" s="203"/>
      <c r="G70" s="201"/>
      <c r="H70" s="201"/>
      <c r="I70" s="201"/>
      <c r="J70" s="201"/>
      <c r="K70" s="201"/>
      <c r="L70" s="201"/>
    </row>
    <row r="71" ht="13.5" customHeight="1" spans="1:12" x14ac:dyDescent="0.25">
      <c r="A71" s="195"/>
      <c r="B71" s="200"/>
      <c r="C71" s="206"/>
      <c r="D71" s="195"/>
      <c r="E71" s="201"/>
      <c r="F71" s="203"/>
      <c r="G71" s="201"/>
      <c r="H71" s="201"/>
      <c r="I71" s="201"/>
      <c r="J71" s="201"/>
      <c r="K71" s="201"/>
      <c r="L71" s="201"/>
    </row>
    <row r="72" ht="13.5" customHeight="1" spans="1:12" x14ac:dyDescent="0.25">
      <c r="A72" s="195"/>
      <c r="B72" s="200"/>
      <c r="C72" s="206"/>
      <c r="D72" s="195"/>
      <c r="E72" s="201"/>
      <c r="F72" s="203"/>
      <c r="G72" s="201"/>
      <c r="H72" s="201"/>
      <c r="I72" s="201"/>
      <c r="J72" s="201"/>
      <c r="K72" s="201"/>
      <c r="L72" s="201"/>
    </row>
    <row r="73" ht="13.5" customHeight="1" spans="1:12" x14ac:dyDescent="0.25">
      <c r="A73" s="195"/>
      <c r="B73" s="200"/>
      <c r="C73" s="206"/>
      <c r="D73" s="195"/>
      <c r="E73" s="201"/>
      <c r="F73" s="203"/>
      <c r="G73" s="201"/>
      <c r="H73" s="201"/>
      <c r="I73" s="201"/>
      <c r="J73" s="201"/>
      <c r="K73" s="201"/>
      <c r="L73" s="201"/>
    </row>
    <row r="74" ht="13.5" customHeight="1" spans="1:12" x14ac:dyDescent="0.25">
      <c r="A74" s="195"/>
      <c r="B74" s="200"/>
      <c r="C74" s="206"/>
      <c r="D74" s="195"/>
      <c r="E74" s="201"/>
      <c r="F74" s="203"/>
      <c r="G74" s="201"/>
      <c r="H74" s="201"/>
      <c r="I74" s="201"/>
      <c r="J74" s="201"/>
      <c r="K74" s="201"/>
      <c r="L74" s="201"/>
    </row>
    <row r="75" ht="13.5" customHeight="1" spans="1:12" x14ac:dyDescent="0.25">
      <c r="A75" s="195"/>
      <c r="B75" s="200"/>
      <c r="C75" s="206"/>
      <c r="D75" s="195"/>
      <c r="E75" s="201"/>
      <c r="F75" s="203"/>
      <c r="G75" s="201"/>
      <c r="H75" s="201"/>
      <c r="I75" s="201"/>
      <c r="J75" s="201"/>
      <c r="K75" s="201"/>
      <c r="L75" s="201"/>
    </row>
    <row r="76" ht="13.5" customHeight="1" spans="1:12" x14ac:dyDescent="0.25">
      <c r="A76" s="195"/>
      <c r="B76" s="200"/>
      <c r="C76" s="206"/>
      <c r="D76" s="195"/>
      <c r="E76" s="201"/>
      <c r="F76" s="203"/>
      <c r="G76" s="201"/>
      <c r="H76" s="201"/>
      <c r="I76" s="201"/>
      <c r="J76" s="201"/>
      <c r="K76" s="201"/>
      <c r="L76" s="201"/>
    </row>
    <row r="77" ht="13.5" customHeight="1" spans="1:12" x14ac:dyDescent="0.25">
      <c r="A77" s="195"/>
      <c r="B77" s="200"/>
      <c r="C77" s="206"/>
      <c r="D77" s="195"/>
      <c r="E77" s="201"/>
      <c r="F77" s="203"/>
      <c r="G77" s="201"/>
      <c r="H77" s="201"/>
      <c r="I77" s="201"/>
      <c r="J77" s="201"/>
      <c r="K77" s="201"/>
      <c r="L77" s="201"/>
    </row>
    <row r="78" ht="13.5" customHeight="1" spans="1:12" x14ac:dyDescent="0.25">
      <c r="A78" s="195"/>
      <c r="B78" s="200"/>
      <c r="C78" s="206"/>
      <c r="D78" s="195"/>
      <c r="E78" s="201"/>
      <c r="F78" s="203"/>
      <c r="G78" s="201"/>
      <c r="H78" s="201"/>
      <c r="I78" s="201"/>
      <c r="J78" s="201"/>
      <c r="K78" s="201"/>
      <c r="L78" s="201"/>
    </row>
    <row r="79" ht="13.5" customHeight="1" spans="1:12" x14ac:dyDescent="0.25">
      <c r="A79" s="195"/>
      <c r="B79" s="200"/>
      <c r="C79" s="206"/>
      <c r="D79" s="195"/>
      <c r="E79" s="201"/>
      <c r="F79" s="203"/>
      <c r="G79" s="201"/>
      <c r="H79" s="201"/>
      <c r="I79" s="201"/>
      <c r="J79" s="201"/>
      <c r="K79" s="201"/>
      <c r="L79" s="201"/>
    </row>
    <row r="80" ht="13.5" customHeight="1" spans="1:12" x14ac:dyDescent="0.25">
      <c r="A80" s="195"/>
      <c r="B80" s="200"/>
      <c r="C80" s="206"/>
      <c r="D80" s="195"/>
      <c r="E80" s="201"/>
      <c r="F80" s="203"/>
      <c r="G80" s="201"/>
      <c r="H80" s="201"/>
      <c r="I80" s="201"/>
      <c r="J80" s="201"/>
      <c r="K80" s="201"/>
      <c r="L80" s="201"/>
    </row>
    <row r="81" ht="13.5" customHeight="1" spans="1:12" x14ac:dyDescent="0.25">
      <c r="A81" s="195"/>
      <c r="B81" s="200"/>
      <c r="C81" s="195"/>
      <c r="D81" s="197"/>
      <c r="E81" s="201"/>
      <c r="F81" s="203"/>
      <c r="G81" s="201"/>
      <c r="H81" s="201"/>
      <c r="I81" s="201"/>
      <c r="J81" s="201"/>
      <c r="K81" s="201"/>
      <c r="L81" s="201"/>
    </row>
    <row r="82" ht="13.5" customHeight="1" spans="1:12" x14ac:dyDescent="0.25">
      <c r="A82" s="195"/>
      <c r="B82" s="200"/>
      <c r="C82" s="195"/>
      <c r="D82" s="197"/>
      <c r="E82" s="201"/>
      <c r="F82" s="203"/>
      <c r="G82" s="201"/>
      <c r="H82" s="201"/>
      <c r="I82" s="201"/>
      <c r="J82" s="201"/>
      <c r="K82" s="201"/>
      <c r="L82" s="201"/>
    </row>
    <row r="83" ht="13.5" customHeight="1" spans="1:12" x14ac:dyDescent="0.25">
      <c r="A83" s="195"/>
      <c r="B83" s="200"/>
      <c r="C83" s="195"/>
      <c r="D83" s="197"/>
      <c r="E83" s="201"/>
      <c r="F83" s="203"/>
      <c r="G83" s="201"/>
      <c r="H83" s="201"/>
      <c r="I83" s="201"/>
      <c r="J83" s="201"/>
      <c r="K83" s="201"/>
      <c r="L83" s="201"/>
    </row>
    <row r="84" ht="13.5" customHeight="1" spans="1:12" x14ac:dyDescent="0.25">
      <c r="A84" s="195"/>
      <c r="B84" s="200"/>
      <c r="C84" s="195"/>
      <c r="D84" s="197"/>
      <c r="E84" s="201"/>
      <c r="F84" s="203"/>
      <c r="G84" s="201"/>
      <c r="H84" s="201"/>
      <c r="I84" s="201"/>
      <c r="J84" s="201"/>
      <c r="K84" s="201"/>
      <c r="L84" s="201"/>
    </row>
    <row r="85" ht="13.5" customHeight="1" spans="1:12" x14ac:dyDescent="0.25">
      <c r="A85" s="195"/>
      <c r="B85" s="200"/>
      <c r="C85" s="206"/>
      <c r="D85" s="195"/>
      <c r="E85" s="201"/>
      <c r="F85" s="203"/>
      <c r="G85" s="201"/>
      <c r="H85" s="201"/>
      <c r="I85" s="201"/>
      <c r="J85" s="201"/>
      <c r="K85" s="201"/>
      <c r="L85" s="201"/>
    </row>
    <row r="86" ht="13.5" customHeight="1" spans="1:12" x14ac:dyDescent="0.25">
      <c r="A86" s="195"/>
      <c r="B86" s="200"/>
      <c r="C86" s="206"/>
      <c r="D86" s="195"/>
      <c r="E86" s="201"/>
      <c r="F86" s="203"/>
      <c r="G86" s="208"/>
      <c r="H86" s="208"/>
      <c r="I86" s="201"/>
      <c r="J86" s="201"/>
      <c r="K86" s="201"/>
      <c r="L86" s="201"/>
    </row>
    <row r="87" ht="13.5" customHeight="1" spans="1:12" x14ac:dyDescent="0.25">
      <c r="A87" s="195"/>
      <c r="B87" s="200"/>
      <c r="C87" s="206"/>
      <c r="D87" s="195"/>
      <c r="E87" s="201"/>
      <c r="F87" s="203"/>
      <c r="G87" s="208"/>
      <c r="H87" s="208"/>
      <c r="I87" s="201"/>
      <c r="J87" s="201"/>
      <c r="K87" s="201"/>
      <c r="L87" s="201"/>
    </row>
    <row r="88" ht="13.5" customHeight="1" spans="1:12" x14ac:dyDescent="0.25">
      <c r="A88" s="195"/>
      <c r="B88" s="200"/>
      <c r="C88" s="206"/>
      <c r="D88" s="195"/>
      <c r="E88" s="201"/>
      <c r="F88" s="203"/>
      <c r="G88" s="201"/>
      <c r="H88" s="201"/>
      <c r="I88" s="201"/>
      <c r="J88" s="201"/>
      <c r="K88" s="201"/>
      <c r="L88" s="201"/>
    </row>
    <row r="89" ht="13.5" customHeight="1" spans="1:12" x14ac:dyDescent="0.25">
      <c r="A89" s="195"/>
      <c r="B89" s="200"/>
      <c r="C89" s="206"/>
      <c r="D89" s="195"/>
      <c r="E89" s="201"/>
      <c r="F89" s="203"/>
      <c r="G89" s="201"/>
      <c r="H89" s="201"/>
      <c r="I89" s="201"/>
      <c r="J89" s="201"/>
      <c r="K89" s="201"/>
      <c r="L89" s="201"/>
    </row>
    <row r="90" ht="13.5" customHeight="1" spans="1:12" x14ac:dyDescent="0.25">
      <c r="A90" s="195"/>
      <c r="B90" s="200"/>
      <c r="C90" s="206"/>
      <c r="D90" s="195"/>
      <c r="E90" s="201"/>
      <c r="F90" s="203"/>
      <c r="G90" s="201"/>
      <c r="H90" s="201"/>
      <c r="I90" s="201"/>
      <c r="J90" s="201"/>
      <c r="K90" s="201"/>
      <c r="L90" s="201"/>
    </row>
    <row r="91" ht="13.5" customHeight="1" spans="1:12" x14ac:dyDescent="0.25">
      <c r="A91" s="195"/>
      <c r="B91" s="200"/>
      <c r="C91" s="206"/>
      <c r="D91" s="195"/>
      <c r="E91" s="201"/>
      <c r="F91" s="203"/>
      <c r="G91" s="201"/>
      <c r="H91" s="201"/>
      <c r="I91" s="201"/>
      <c r="J91" s="201"/>
      <c r="K91" s="201"/>
      <c r="L91" s="201"/>
    </row>
    <row r="92" ht="13.5" customHeight="1" spans="1:12" x14ac:dyDescent="0.25">
      <c r="A92" s="195"/>
      <c r="B92" s="200"/>
      <c r="C92" s="206"/>
      <c r="D92" s="195"/>
      <c r="E92" s="201"/>
      <c r="F92" s="203"/>
      <c r="G92" s="201"/>
      <c r="H92" s="201"/>
      <c r="I92" s="201"/>
      <c r="J92" s="201"/>
      <c r="K92" s="201"/>
      <c r="L92" s="201"/>
    </row>
    <row r="93" ht="13.5" customHeight="1" spans="1:12" x14ac:dyDescent="0.25">
      <c r="A93" s="195"/>
      <c r="B93" s="200"/>
      <c r="C93" s="206"/>
      <c r="D93" s="195"/>
      <c r="E93" s="201"/>
      <c r="F93" s="203"/>
      <c r="G93" s="201"/>
      <c r="H93" s="201"/>
      <c r="I93" s="201"/>
      <c r="J93" s="201"/>
      <c r="K93" s="201"/>
      <c r="L93" s="201"/>
    </row>
    <row r="94" ht="13.5" customHeight="1" spans="1:12" x14ac:dyDescent="0.25">
      <c r="A94" s="195"/>
      <c r="B94" s="200"/>
      <c r="C94" s="206"/>
      <c r="D94" s="195"/>
      <c r="E94" s="201"/>
      <c r="F94" s="203"/>
      <c r="G94" s="201"/>
      <c r="H94" s="201"/>
      <c r="I94" s="201"/>
      <c r="J94" s="201"/>
      <c r="K94" s="201"/>
      <c r="L94" s="201"/>
    </row>
    <row r="95" ht="13.5" customHeight="1" spans="1:12" x14ac:dyDescent="0.25">
      <c r="A95" s="195"/>
      <c r="B95" s="200"/>
      <c r="C95" s="206"/>
      <c r="D95" s="195"/>
      <c r="E95" s="201"/>
      <c r="F95" s="203"/>
      <c r="G95" s="201"/>
      <c r="H95" s="201"/>
      <c r="I95" s="201"/>
      <c r="J95" s="201"/>
      <c r="K95" s="201"/>
      <c r="L95" s="201"/>
    </row>
    <row r="96" ht="13.5" customHeight="1" spans="1:12" x14ac:dyDescent="0.25">
      <c r="A96" s="195"/>
      <c r="B96" s="200"/>
      <c r="C96" s="206"/>
      <c r="D96" s="195"/>
      <c r="E96" s="201"/>
      <c r="F96" s="203"/>
      <c r="G96" s="201"/>
      <c r="H96" s="201"/>
      <c r="I96" s="201"/>
      <c r="J96" s="201"/>
      <c r="K96" s="201"/>
      <c r="L96" s="201"/>
    </row>
    <row r="97" ht="13.5" customHeight="1" spans="1:12" x14ac:dyDescent="0.25">
      <c r="A97" s="195"/>
      <c r="B97" s="200"/>
      <c r="C97" s="206"/>
      <c r="D97" s="195"/>
      <c r="E97" s="201"/>
      <c r="F97" s="203"/>
      <c r="G97" s="201"/>
      <c r="H97" s="201"/>
      <c r="I97" s="201"/>
      <c r="J97" s="201"/>
      <c r="K97" s="201"/>
      <c r="L97" s="201"/>
    </row>
    <row r="98" ht="13.5" customHeight="1" spans="1:12" x14ac:dyDescent="0.25">
      <c r="A98" s="195"/>
      <c r="B98" s="200"/>
      <c r="C98" s="206"/>
      <c r="D98" s="195"/>
      <c r="E98" s="201"/>
      <c r="F98" s="203"/>
      <c r="G98" s="201"/>
      <c r="H98" s="201"/>
      <c r="I98" s="201"/>
      <c r="J98" s="201"/>
      <c r="K98" s="201"/>
      <c r="L98" s="201"/>
    </row>
    <row r="99" ht="13.5" customHeight="1" spans="1:12" x14ac:dyDescent="0.25">
      <c r="A99" s="195"/>
      <c r="B99" s="200"/>
      <c r="C99" s="206"/>
      <c r="D99" s="195"/>
      <c r="E99" s="201"/>
      <c r="F99" s="203"/>
      <c r="G99" s="201"/>
      <c r="H99" s="201"/>
      <c r="I99" s="201"/>
      <c r="J99" s="201"/>
      <c r="K99" s="201"/>
      <c r="L99" s="201"/>
    </row>
    <row r="100" ht="13.5" customHeight="1" spans="1:12" x14ac:dyDescent="0.25">
      <c r="A100" s="195"/>
      <c r="B100" s="200"/>
      <c r="C100" s="206"/>
      <c r="D100" s="195"/>
      <c r="E100" s="201"/>
      <c r="F100" s="203"/>
      <c r="G100" s="208"/>
      <c r="H100" s="208"/>
      <c r="I100" s="201"/>
      <c r="J100" s="201"/>
      <c r="K100" s="201"/>
      <c r="L100" s="201"/>
    </row>
    <row r="101" ht="13.5" customHeight="1" spans="1:12" x14ac:dyDescent="0.25">
      <c r="A101" s="195"/>
      <c r="B101" s="200"/>
      <c r="C101" s="206"/>
      <c r="D101" s="195"/>
      <c r="E101" s="201"/>
      <c r="F101" s="203"/>
      <c r="G101" s="201"/>
      <c r="H101" s="201"/>
      <c r="I101" s="201"/>
      <c r="J101" s="201"/>
      <c r="K101" s="201"/>
      <c r="L101" s="201"/>
    </row>
    <row r="102" ht="13.5" customHeight="1" spans="1:12" x14ac:dyDescent="0.25">
      <c r="A102" s="195"/>
      <c r="B102" s="200"/>
      <c r="C102" s="206"/>
      <c r="D102" s="195"/>
      <c r="E102" s="201"/>
      <c r="F102" s="203"/>
      <c r="G102" s="208"/>
      <c r="H102" s="208"/>
      <c r="I102" s="201"/>
      <c r="J102" s="201"/>
      <c r="K102" s="201"/>
      <c r="L102" s="201"/>
    </row>
    <row r="103" ht="13.5" customHeight="1" spans="1:12" x14ac:dyDescent="0.25">
      <c r="A103" s="195"/>
      <c r="B103" s="200"/>
      <c r="C103" s="206"/>
      <c r="D103" s="195"/>
      <c r="E103" s="201"/>
      <c r="F103" s="203"/>
      <c r="G103" s="208"/>
      <c r="H103" s="208"/>
      <c r="I103" s="201"/>
      <c r="J103" s="201"/>
      <c r="K103" s="201"/>
      <c r="L103" s="201"/>
    </row>
    <row r="104" ht="13.5" customHeight="1" spans="1:12" x14ac:dyDescent="0.25">
      <c r="A104" s="195"/>
      <c r="B104" s="200"/>
      <c r="C104" s="206"/>
      <c r="D104" s="195"/>
      <c r="E104" s="201"/>
      <c r="F104" s="203"/>
      <c r="G104" s="201"/>
      <c r="H104" s="201"/>
      <c r="I104" s="201"/>
      <c r="J104" s="201"/>
      <c r="K104" s="201"/>
      <c r="L104" s="201"/>
    </row>
    <row r="105" ht="13.5" customHeight="1" spans="1:12" x14ac:dyDescent="0.25">
      <c r="A105" s="195"/>
      <c r="B105" s="200"/>
      <c r="C105" s="206"/>
      <c r="D105" s="195"/>
      <c r="E105" s="201"/>
      <c r="F105" s="203"/>
      <c r="G105" s="201"/>
      <c r="H105" s="201"/>
      <c r="I105" s="201"/>
      <c r="J105" s="201"/>
      <c r="K105" s="201"/>
      <c r="L105" s="201"/>
    </row>
    <row r="106" ht="13.5" customHeight="1" spans="1:12" x14ac:dyDescent="0.25">
      <c r="A106" s="195"/>
      <c r="B106" s="200"/>
      <c r="C106" s="206"/>
      <c r="D106" s="195"/>
      <c r="E106" s="201"/>
      <c r="F106" s="203"/>
      <c r="G106" s="201"/>
      <c r="H106" s="201"/>
      <c r="I106" s="201"/>
      <c r="J106" s="201"/>
      <c r="K106" s="201"/>
      <c r="L106" s="201"/>
    </row>
    <row r="107" ht="13.5" customHeight="1" spans="1:12" x14ac:dyDescent="0.25">
      <c r="A107" s="195"/>
      <c r="B107" s="200"/>
      <c r="C107" s="206"/>
      <c r="D107" s="195"/>
      <c r="E107" s="201"/>
      <c r="F107" s="203"/>
      <c r="G107" s="201"/>
      <c r="H107" s="201"/>
      <c r="I107" s="201"/>
      <c r="J107" s="201"/>
      <c r="K107" s="201"/>
      <c r="L107" s="201"/>
    </row>
    <row r="108" ht="13.5" customHeight="1" spans="1:12" x14ac:dyDescent="0.25">
      <c r="A108" s="195"/>
      <c r="B108" s="200"/>
      <c r="C108" s="206"/>
      <c r="D108" s="195"/>
      <c r="E108" s="201"/>
      <c r="F108" s="209"/>
      <c r="G108" s="208"/>
      <c r="H108" s="208"/>
      <c r="I108" s="201"/>
      <c r="J108" s="201"/>
      <c r="K108" s="201"/>
      <c r="L108" s="201"/>
    </row>
    <row r="109" ht="13.5" customHeight="1" spans="1:12" x14ac:dyDescent="0.25">
      <c r="A109" s="195"/>
      <c r="B109" s="200"/>
      <c r="C109" s="206"/>
      <c r="D109" s="195"/>
      <c r="E109" s="201"/>
      <c r="F109" s="204"/>
      <c r="G109" s="201"/>
      <c r="H109" s="201"/>
      <c r="I109" s="201"/>
      <c r="J109" s="201"/>
      <c r="K109" s="201"/>
      <c r="L109" s="201"/>
    </row>
    <row r="110" ht="13.5" customHeight="1" spans="1:12" x14ac:dyDescent="0.25">
      <c r="A110" s="195"/>
      <c r="B110" s="200"/>
      <c r="C110" s="206"/>
      <c r="D110" s="195"/>
      <c r="E110" s="201"/>
      <c r="F110" s="209"/>
      <c r="G110" s="208"/>
      <c r="H110" s="208"/>
      <c r="I110" s="201"/>
      <c r="J110" s="201"/>
      <c r="K110" s="201"/>
      <c r="L110" s="201"/>
    </row>
    <row r="111" ht="13.5" customHeight="1" spans="1:12" x14ac:dyDescent="0.25">
      <c r="A111" s="195"/>
      <c r="B111" s="200"/>
      <c r="C111" s="206"/>
      <c r="D111" s="195"/>
      <c r="E111" s="201"/>
      <c r="F111" s="199"/>
      <c r="G111" s="201"/>
      <c r="H111" s="201"/>
      <c r="I111" s="201"/>
      <c r="J111" s="201"/>
      <c r="K111" s="201"/>
      <c r="L111" s="201"/>
    </row>
    <row r="112" ht="13.5" customHeight="1" spans="1:12" x14ac:dyDescent="0.25">
      <c r="A112" s="195"/>
      <c r="B112" s="200"/>
      <c r="C112" s="206"/>
      <c r="D112" s="195"/>
      <c r="E112" s="201"/>
      <c r="F112" s="209"/>
      <c r="G112" s="208"/>
      <c r="H112" s="208"/>
      <c r="I112" s="201"/>
      <c r="J112" s="201"/>
      <c r="K112" s="201"/>
      <c r="L112" s="201"/>
    </row>
    <row r="113" ht="13.5" customHeight="1" spans="1:12" x14ac:dyDescent="0.25">
      <c r="A113" s="195"/>
      <c r="B113" s="200"/>
      <c r="C113" s="206"/>
      <c r="D113" s="195"/>
      <c r="E113" s="201"/>
      <c r="F113" s="199"/>
      <c r="G113" s="201"/>
      <c r="H113" s="201"/>
      <c r="I113" s="201"/>
      <c r="J113" s="201"/>
      <c r="K113" s="201"/>
      <c r="L113" s="201"/>
    </row>
    <row r="114" ht="13.5" customHeight="1" spans="1:12" x14ac:dyDescent="0.25">
      <c r="A114" s="195"/>
      <c r="B114" s="200"/>
      <c r="C114" s="206"/>
      <c r="D114" s="195"/>
      <c r="E114" s="201"/>
      <c r="F114" s="199"/>
      <c r="G114" s="201"/>
      <c r="H114" s="201"/>
      <c r="I114" s="201"/>
      <c r="J114" s="201"/>
      <c r="K114" s="201"/>
      <c r="L114" s="201"/>
    </row>
    <row r="115" ht="13.5" customHeight="1" spans="1:12" x14ac:dyDescent="0.25">
      <c r="A115" s="195"/>
      <c r="B115" s="200"/>
      <c r="C115" s="206"/>
      <c r="D115" s="195"/>
      <c r="E115" s="201"/>
      <c r="F115" s="199"/>
      <c r="G115" s="201"/>
      <c r="H115" s="201"/>
      <c r="I115" s="201"/>
      <c r="J115" s="201"/>
      <c r="K115" s="201"/>
      <c r="L115" s="201"/>
    </row>
    <row r="116" ht="13.5" customHeight="1" spans="1:12" x14ac:dyDescent="0.25">
      <c r="A116" s="195"/>
      <c r="B116" s="200"/>
      <c r="C116" s="206"/>
      <c r="D116" s="195"/>
      <c r="E116" s="201"/>
      <c r="F116" s="199"/>
      <c r="G116" s="201"/>
      <c r="H116" s="201"/>
      <c r="I116" s="201"/>
      <c r="J116" s="201"/>
      <c r="K116" s="201"/>
      <c r="L116" s="201"/>
    </row>
    <row r="117" ht="13.5" customHeight="1" spans="1:12" x14ac:dyDescent="0.25">
      <c r="A117" s="195"/>
      <c r="B117" s="200"/>
      <c r="C117" s="206"/>
      <c r="D117" s="195"/>
      <c r="E117" s="201"/>
      <c r="F117" s="199"/>
      <c r="G117" s="201"/>
      <c r="H117" s="201"/>
      <c r="I117" s="201"/>
      <c r="J117" s="201"/>
      <c r="K117" s="201"/>
      <c r="L117" s="201"/>
    </row>
    <row r="118" ht="13.5" customHeight="1" spans="1:12" x14ac:dyDescent="0.25">
      <c r="A118" s="195"/>
      <c r="B118" s="200"/>
      <c r="C118" s="206"/>
      <c r="D118" s="195"/>
      <c r="E118" s="201"/>
      <c r="F118" s="199"/>
      <c r="G118" s="201"/>
      <c r="H118" s="201"/>
      <c r="I118" s="201"/>
      <c r="J118" s="201"/>
      <c r="K118" s="201"/>
      <c r="L118" s="201"/>
    </row>
    <row r="119" ht="13.5" customHeight="1" spans="1:12" x14ac:dyDescent="0.25">
      <c r="A119" s="195"/>
      <c r="B119" s="200"/>
      <c r="C119" s="206"/>
      <c r="D119" s="195"/>
      <c r="E119" s="201"/>
      <c r="F119" s="199"/>
      <c r="G119" s="201"/>
      <c r="H119" s="201"/>
      <c r="I119" s="201"/>
      <c r="J119" s="201"/>
      <c r="K119" s="201"/>
      <c r="L119" s="201"/>
    </row>
    <row r="120" ht="13.5" customHeight="1" spans="1:12" x14ac:dyDescent="0.25">
      <c r="A120" s="195"/>
      <c r="B120" s="200"/>
      <c r="C120" s="206"/>
      <c r="D120" s="195"/>
      <c r="E120" s="201"/>
      <c r="F120" s="199"/>
      <c r="G120" s="201"/>
      <c r="H120" s="201"/>
      <c r="I120" s="201"/>
      <c r="J120" s="201"/>
      <c r="K120" s="201"/>
      <c r="L120" s="201"/>
    </row>
    <row r="121" ht="13.5" customHeight="1" spans="1:12" x14ac:dyDescent="0.25">
      <c r="A121" s="195"/>
      <c r="B121" s="200"/>
      <c r="C121" s="206"/>
      <c r="D121" s="195"/>
      <c r="E121" s="201"/>
      <c r="F121" s="199"/>
      <c r="G121" s="201"/>
      <c r="H121" s="201"/>
      <c r="I121" s="201"/>
      <c r="J121" s="201"/>
      <c r="K121" s="201"/>
      <c r="L121" s="201"/>
    </row>
    <row r="122" ht="13.5" customHeight="1" spans="1:12" x14ac:dyDescent="0.25">
      <c r="A122" s="195"/>
      <c r="B122" s="200"/>
      <c r="C122" s="206"/>
      <c r="D122" s="195"/>
      <c r="E122" s="201"/>
      <c r="F122" s="199"/>
      <c r="G122" s="201"/>
      <c r="H122" s="201"/>
      <c r="I122" s="201"/>
      <c r="J122" s="201"/>
      <c r="K122" s="201"/>
      <c r="L122" s="201"/>
    </row>
    <row r="123" ht="13.5" customHeight="1" spans="1:12" x14ac:dyDescent="0.25">
      <c r="A123" s="195"/>
      <c r="B123" s="200"/>
      <c r="C123" s="206"/>
      <c r="D123" s="195"/>
      <c r="E123" s="201"/>
      <c r="F123" s="199"/>
      <c r="G123" s="201"/>
      <c r="H123" s="201"/>
      <c r="I123" s="201"/>
      <c r="J123" s="201"/>
      <c r="K123" s="201"/>
      <c r="L123" s="201"/>
    </row>
    <row r="124" ht="13.5" customHeight="1" spans="1:12" x14ac:dyDescent="0.25">
      <c r="A124" s="195"/>
      <c r="B124" s="200"/>
      <c r="C124" s="206"/>
      <c r="D124" s="195"/>
      <c r="E124" s="201"/>
      <c r="F124" s="199"/>
      <c r="G124" s="201"/>
      <c r="H124" s="201"/>
      <c r="I124" s="201"/>
      <c r="J124" s="201"/>
      <c r="K124" s="201"/>
      <c r="L124" s="201"/>
    </row>
    <row r="125" ht="13.5" customHeight="1" spans="1:12" x14ac:dyDescent="0.25">
      <c r="A125" s="195"/>
      <c r="B125" s="200"/>
      <c r="C125" s="206"/>
      <c r="D125" s="195"/>
      <c r="E125" s="201"/>
      <c r="F125" s="199"/>
      <c r="G125" s="201"/>
      <c r="H125" s="201"/>
      <c r="I125" s="201"/>
      <c r="J125" s="201"/>
      <c r="K125" s="201"/>
      <c r="L125" s="201"/>
    </row>
    <row r="126" ht="13.5" customHeight="1" spans="1:12" x14ac:dyDescent="0.25">
      <c r="A126" s="195"/>
      <c r="B126" s="200"/>
      <c r="C126" s="206"/>
      <c r="D126" s="195"/>
      <c r="E126" s="201"/>
      <c r="F126" s="199"/>
      <c r="G126" s="201"/>
      <c r="H126" s="201"/>
      <c r="I126" s="201"/>
      <c r="J126" s="201"/>
      <c r="K126" s="201"/>
      <c r="L126" s="201"/>
    </row>
    <row r="127" ht="12.75" customHeight="1" spans="1:12" x14ac:dyDescent="0.25">
      <c r="A127" s="195"/>
      <c r="B127" s="200"/>
      <c r="C127" s="206"/>
      <c r="D127" s="195"/>
      <c r="E127" s="201"/>
      <c r="F127" s="199"/>
      <c r="G127" s="201"/>
      <c r="H127" s="201"/>
      <c r="I127" s="201"/>
      <c r="J127" s="201"/>
      <c r="K127" s="201"/>
      <c r="L127" s="201"/>
    </row>
    <row r="128" ht="12.75" customHeight="1" spans="1:12" x14ac:dyDescent="0.25">
      <c r="A128" s="195"/>
      <c r="B128" s="200"/>
      <c r="C128" s="206"/>
      <c r="D128" s="195"/>
      <c r="E128" s="201"/>
      <c r="F128" s="199"/>
      <c r="G128" s="201"/>
      <c r="H128" s="201"/>
      <c r="I128" s="201"/>
      <c r="J128" s="201"/>
      <c r="K128" s="201"/>
      <c r="L128" s="201"/>
    </row>
    <row r="129" ht="12.75" customHeight="1" spans="1:12" x14ac:dyDescent="0.25">
      <c r="A129" s="195"/>
      <c r="B129" s="200"/>
      <c r="C129" s="206"/>
      <c r="D129" s="195"/>
      <c r="E129" s="201"/>
      <c r="F129" s="199"/>
      <c r="G129" s="201"/>
      <c r="H129" s="201"/>
      <c r="I129" s="201"/>
      <c r="J129" s="201"/>
      <c r="K129" s="201"/>
      <c r="L129" s="201"/>
    </row>
    <row r="130" ht="13.5" customHeight="1" spans="1:12" x14ac:dyDescent="0.25">
      <c r="A130" s="195"/>
      <c r="B130" s="200"/>
      <c r="C130" s="206"/>
      <c r="D130" s="195"/>
      <c r="E130" s="201"/>
      <c r="F130" s="199"/>
      <c r="G130" s="201"/>
      <c r="H130" s="201"/>
      <c r="I130" s="201"/>
      <c r="J130" s="201"/>
      <c r="K130" s="201"/>
      <c r="L130" s="201"/>
    </row>
    <row r="131" ht="13.5" customHeight="1" spans="1:12" x14ac:dyDescent="0.25">
      <c r="A131" s="195"/>
      <c r="B131" s="200"/>
      <c r="C131" s="206"/>
      <c r="D131" s="195"/>
      <c r="E131" s="201"/>
      <c r="F131" s="199"/>
      <c r="G131" s="201"/>
      <c r="H131" s="201"/>
      <c r="I131" s="201"/>
      <c r="J131" s="201"/>
      <c r="K131" s="201"/>
      <c r="L131" s="201"/>
    </row>
    <row r="132" ht="13.5" customHeight="1" spans="1:12" x14ac:dyDescent="0.25">
      <c r="A132" s="195"/>
      <c r="B132" s="200"/>
      <c r="C132" s="206"/>
      <c r="D132" s="195"/>
      <c r="E132" s="201"/>
      <c r="F132" s="209"/>
      <c r="G132" s="208"/>
      <c r="H132" s="208"/>
      <c r="I132" s="201"/>
      <c r="J132" s="201"/>
      <c r="K132" s="201"/>
      <c r="L132" s="201"/>
    </row>
    <row r="133" ht="13.5" customHeight="1" spans="1:12" x14ac:dyDescent="0.25">
      <c r="A133" s="195"/>
      <c r="B133" s="200"/>
      <c r="C133" s="206"/>
      <c r="D133" s="195"/>
      <c r="E133" s="201"/>
      <c r="F133" s="199"/>
      <c r="G133" s="201"/>
      <c r="H133" s="201"/>
      <c r="I133" s="201"/>
      <c r="J133" s="201"/>
      <c r="K133" s="201"/>
      <c r="L133" s="201"/>
    </row>
    <row r="134" ht="13.5" customHeight="1" spans="1:12" x14ac:dyDescent="0.25">
      <c r="A134" s="195"/>
      <c r="B134" s="200"/>
      <c r="C134" s="206"/>
      <c r="D134" s="195"/>
      <c r="E134" s="201"/>
      <c r="F134" s="199"/>
      <c r="G134" s="201"/>
      <c r="H134" s="201"/>
      <c r="I134" s="201"/>
      <c r="J134" s="201"/>
      <c r="K134" s="201"/>
      <c r="L134" s="201"/>
    </row>
    <row r="135" ht="13.5" customHeight="1" spans="1:12" x14ac:dyDescent="0.25">
      <c r="A135" s="195"/>
      <c r="B135" s="200"/>
      <c r="C135" s="206"/>
      <c r="D135" s="195"/>
      <c r="E135" s="201"/>
      <c r="F135" s="199"/>
      <c r="G135" s="201"/>
      <c r="H135" s="201"/>
      <c r="I135" s="201"/>
      <c r="J135" s="201"/>
      <c r="K135" s="201"/>
      <c r="L135" s="201"/>
    </row>
    <row r="136" ht="13.5" customHeight="1" spans="1:12" x14ac:dyDescent="0.25">
      <c r="A136" s="195"/>
      <c r="B136" s="200"/>
      <c r="C136" s="206"/>
      <c r="D136" s="195"/>
      <c r="E136" s="201"/>
      <c r="F136" s="209"/>
      <c r="G136" s="208"/>
      <c r="H136" s="208"/>
      <c r="I136" s="201"/>
      <c r="J136" s="201"/>
      <c r="K136" s="201"/>
      <c r="L136" s="201"/>
    </row>
    <row r="137" ht="13.5" customHeight="1" spans="1:12" x14ac:dyDescent="0.25">
      <c r="A137" s="195"/>
      <c r="B137" s="200"/>
      <c r="C137" s="206"/>
      <c r="D137" s="195"/>
      <c r="E137" s="201"/>
      <c r="F137" s="199"/>
      <c r="G137" s="201"/>
      <c r="H137" s="201"/>
      <c r="I137" s="201"/>
      <c r="J137" s="201"/>
      <c r="K137" s="201"/>
      <c r="L137" s="201"/>
    </row>
    <row r="138" ht="13.5" customHeight="1" spans="1:12" x14ac:dyDescent="0.25">
      <c r="A138" s="195"/>
      <c r="B138" s="200"/>
      <c r="C138" s="206"/>
      <c r="D138" s="195"/>
      <c r="E138" s="201"/>
      <c r="F138" s="199"/>
      <c r="G138" s="201"/>
      <c r="H138" s="201"/>
      <c r="I138" s="201"/>
      <c r="J138" s="201"/>
      <c r="K138" s="201"/>
      <c r="L138" s="201"/>
    </row>
    <row r="139" ht="13.5" customHeight="1" spans="1:12" x14ac:dyDescent="0.25">
      <c r="A139" s="195"/>
      <c r="B139" s="200"/>
      <c r="C139" s="206"/>
      <c r="D139" s="195"/>
      <c r="E139" s="201"/>
      <c r="F139" s="199"/>
      <c r="G139" s="201"/>
      <c r="H139" s="201"/>
      <c r="I139" s="201"/>
      <c r="J139" s="201"/>
      <c r="K139" s="201"/>
      <c r="L139" s="201"/>
    </row>
    <row r="140" ht="13.5" customHeight="1" spans="1:12" x14ac:dyDescent="0.25">
      <c r="A140" s="195"/>
      <c r="B140" s="200"/>
      <c r="C140" s="206"/>
      <c r="D140" s="195"/>
      <c r="E140" s="201"/>
      <c r="F140" s="199"/>
      <c r="G140" s="201"/>
      <c r="H140" s="201"/>
      <c r="I140" s="201"/>
      <c r="J140" s="201"/>
      <c r="K140" s="201"/>
      <c r="L140" s="201"/>
    </row>
    <row r="141" ht="13.5" customHeight="1" spans="1:12" x14ac:dyDescent="0.25">
      <c r="A141" s="195"/>
      <c r="B141" s="200"/>
      <c r="C141" s="206"/>
      <c r="D141" s="195"/>
      <c r="E141" s="201"/>
      <c r="F141" s="199"/>
      <c r="G141" s="201"/>
      <c r="H141" s="201"/>
      <c r="I141" s="201"/>
      <c r="J141" s="201"/>
      <c r="K141" s="201"/>
      <c r="L141" s="201"/>
    </row>
    <row r="142" ht="13.5" customHeight="1" spans="1:12" x14ac:dyDescent="0.25">
      <c r="A142" s="195"/>
      <c r="B142" s="200"/>
      <c r="C142" s="206"/>
      <c r="D142" s="195"/>
      <c r="E142" s="201"/>
      <c r="F142" s="199"/>
      <c r="G142" s="201"/>
      <c r="H142" s="201"/>
      <c r="I142" s="201"/>
      <c r="J142" s="201"/>
      <c r="K142" s="201"/>
      <c r="L142" s="201"/>
    </row>
    <row r="143" ht="13.5" customHeight="1" spans="1:12" x14ac:dyDescent="0.25">
      <c r="A143" s="195"/>
      <c r="B143" s="200"/>
      <c r="C143" s="206"/>
      <c r="D143" s="195"/>
      <c r="E143" s="201"/>
      <c r="F143" s="199"/>
      <c r="G143" s="201"/>
      <c r="H143" s="201"/>
      <c r="I143" s="201"/>
      <c r="J143" s="201"/>
      <c r="K143" s="201"/>
      <c r="L143" s="201"/>
    </row>
    <row r="144" ht="13.5" customHeight="1" spans="1:12" x14ac:dyDescent="0.25">
      <c r="A144" s="195"/>
      <c r="B144" s="200"/>
      <c r="C144" s="206"/>
      <c r="D144" s="195"/>
      <c r="E144" s="201"/>
      <c r="F144" s="209"/>
      <c r="G144" s="208"/>
      <c r="H144" s="208"/>
      <c r="I144" s="201"/>
      <c r="J144" s="201"/>
      <c r="K144" s="201"/>
      <c r="L144" s="201"/>
    </row>
    <row r="145" ht="13.5" customHeight="1" spans="1:12" x14ac:dyDescent="0.25">
      <c r="A145" s="195"/>
      <c r="B145" s="200"/>
      <c r="C145" s="206"/>
      <c r="D145" s="195"/>
      <c r="E145" s="201"/>
      <c r="F145" s="199"/>
      <c r="G145" s="201"/>
      <c r="H145" s="201"/>
      <c r="I145" s="201"/>
      <c r="J145" s="201"/>
      <c r="K145" s="201"/>
      <c r="L145" s="201"/>
    </row>
    <row r="146" ht="13.5" customHeight="1" spans="1:12" x14ac:dyDescent="0.25">
      <c r="A146" s="195"/>
      <c r="B146" s="200"/>
      <c r="C146" s="206"/>
      <c r="D146" s="195"/>
      <c r="E146" s="201"/>
      <c r="F146" s="209"/>
      <c r="G146" s="208"/>
      <c r="H146" s="208"/>
      <c r="I146" s="201"/>
      <c r="J146" s="201"/>
      <c r="K146" s="201"/>
      <c r="L146" s="201"/>
    </row>
    <row r="147" ht="13.5" customHeight="1" spans="1:12" x14ac:dyDescent="0.25">
      <c r="A147" s="195"/>
      <c r="B147" s="200"/>
      <c r="C147" s="206"/>
      <c r="D147" s="195"/>
      <c r="E147" s="201"/>
      <c r="F147" s="209"/>
      <c r="G147" s="208"/>
      <c r="H147" s="208"/>
      <c r="I147" s="201"/>
      <c r="J147" s="201"/>
      <c r="K147" s="201"/>
      <c r="L147" s="201"/>
    </row>
    <row r="148" ht="13.5" customHeight="1" spans="1:12" x14ac:dyDescent="0.25">
      <c r="A148" s="195"/>
      <c r="B148" s="200"/>
      <c r="C148" s="206"/>
      <c r="D148" s="195"/>
      <c r="E148" s="201"/>
      <c r="F148" s="199"/>
      <c r="G148" s="201"/>
      <c r="H148" s="201"/>
      <c r="I148" s="201"/>
      <c r="J148" s="201"/>
      <c r="K148" s="201"/>
      <c r="L148" s="201"/>
    </row>
    <row r="149" ht="13.5" customHeight="1" spans="1:12" x14ac:dyDescent="0.25">
      <c r="A149" s="195"/>
      <c r="B149" s="200"/>
      <c r="C149" s="206"/>
      <c r="D149" s="195"/>
      <c r="E149" s="201"/>
      <c r="F149" s="199"/>
      <c r="G149" s="201"/>
      <c r="H149" s="201"/>
      <c r="I149" s="201"/>
      <c r="J149" s="201"/>
      <c r="K149" s="201"/>
      <c r="L149" s="201"/>
    </row>
    <row r="150" ht="13.5" customHeight="1" spans="1:12" x14ac:dyDescent="0.25">
      <c r="A150" s="195"/>
      <c r="B150" s="200"/>
      <c r="C150" s="206"/>
      <c r="D150" s="195"/>
      <c r="E150" s="201"/>
      <c r="F150" s="199"/>
      <c r="G150" s="201"/>
      <c r="H150" s="201"/>
      <c r="I150" s="201"/>
      <c r="J150" s="201"/>
      <c r="K150" s="201"/>
      <c r="L150" s="201"/>
    </row>
    <row r="151" ht="13.5" customHeight="1" spans="1:12" x14ac:dyDescent="0.25">
      <c r="A151" s="195"/>
      <c r="B151" s="200"/>
      <c r="C151" s="206"/>
      <c r="D151" s="195"/>
      <c r="E151" s="201"/>
      <c r="F151" s="199"/>
      <c r="G151" s="201"/>
      <c r="H151" s="201"/>
      <c r="I151" s="201"/>
      <c r="J151" s="201"/>
      <c r="K151" s="201"/>
      <c r="L151" s="201"/>
    </row>
    <row r="152" ht="13.5" customHeight="1" spans="1:12" x14ac:dyDescent="0.25">
      <c r="A152" s="195"/>
      <c r="B152" s="200"/>
      <c r="C152" s="206"/>
      <c r="D152" s="195"/>
      <c r="E152" s="201"/>
      <c r="F152" s="199"/>
      <c r="G152" s="201"/>
      <c r="H152" s="201"/>
      <c r="I152" s="201"/>
      <c r="J152" s="201"/>
      <c r="K152" s="201"/>
      <c r="L152" s="201"/>
    </row>
    <row r="153" ht="13.5" customHeight="1" spans="1:12" x14ac:dyDescent="0.25">
      <c r="A153" s="195"/>
      <c r="B153" s="200"/>
      <c r="C153" s="206"/>
      <c r="D153" s="195"/>
      <c r="E153" s="201"/>
      <c r="F153" s="199"/>
      <c r="G153" s="201"/>
      <c r="H153" s="201"/>
      <c r="I153" s="201"/>
      <c r="J153" s="201"/>
      <c r="K153" s="201"/>
      <c r="L153" s="201"/>
    </row>
    <row r="154" ht="13.5" customHeight="1" spans="1:12" x14ac:dyDescent="0.25">
      <c r="A154" s="195"/>
      <c r="B154" s="200"/>
      <c r="C154" s="206"/>
      <c r="D154" s="195"/>
      <c r="E154" s="201"/>
      <c r="F154" s="210"/>
      <c r="G154" s="208"/>
      <c r="H154" s="208"/>
      <c r="I154" s="201"/>
      <c r="J154" s="201"/>
      <c r="K154" s="201"/>
      <c r="L154" s="201"/>
    </row>
    <row r="155" ht="13.5" customHeight="1" spans="1:12" x14ac:dyDescent="0.25">
      <c r="A155" s="195"/>
      <c r="B155" s="200"/>
      <c r="C155" s="206"/>
      <c r="D155" s="195"/>
      <c r="E155" s="201"/>
      <c r="F155" s="199"/>
      <c r="G155" s="201"/>
      <c r="H155" s="201"/>
      <c r="I155" s="201"/>
      <c r="J155" s="201"/>
      <c r="K155" s="201"/>
      <c r="L155" s="201"/>
    </row>
    <row r="156" ht="13.5" customHeight="1" spans="1:12" x14ac:dyDescent="0.25">
      <c r="A156" s="195"/>
      <c r="B156" s="200"/>
      <c r="C156" s="206"/>
      <c r="D156" s="195"/>
      <c r="E156" s="201"/>
      <c r="F156" s="199"/>
      <c r="G156" s="201"/>
      <c r="H156" s="201"/>
      <c r="I156" s="201"/>
      <c r="J156" s="201"/>
      <c r="K156" s="201"/>
      <c r="L156" s="201"/>
    </row>
    <row r="157" ht="13.5" customHeight="1" spans="1:12" x14ac:dyDescent="0.25">
      <c r="A157" s="195"/>
      <c r="B157" s="200"/>
      <c r="C157" s="206"/>
      <c r="D157" s="195"/>
      <c r="E157" s="201"/>
      <c r="F157" s="209"/>
      <c r="G157" s="208"/>
      <c r="H157" s="208"/>
      <c r="I157" s="201"/>
      <c r="J157" s="201"/>
      <c r="K157" s="201"/>
      <c r="L157" s="201"/>
    </row>
    <row r="158" ht="13.5" customHeight="1" spans="1:12" x14ac:dyDescent="0.25">
      <c r="A158" s="195"/>
      <c r="B158" s="200"/>
      <c r="C158" s="206"/>
      <c r="D158" s="195"/>
      <c r="E158" s="201"/>
      <c r="F158" s="199"/>
      <c r="G158" s="201"/>
      <c r="H158" s="201"/>
      <c r="I158" s="201"/>
      <c r="J158" s="201"/>
      <c r="K158" s="201"/>
      <c r="L158" s="201"/>
    </row>
    <row r="159" ht="13.5" customHeight="1" spans="1:12" x14ac:dyDescent="0.25">
      <c r="A159" s="195"/>
      <c r="B159" s="200"/>
      <c r="C159" s="206"/>
      <c r="D159" s="195"/>
      <c r="E159" s="201"/>
      <c r="F159" s="199"/>
      <c r="G159" s="201"/>
      <c r="H159" s="201"/>
      <c r="I159" s="201"/>
      <c r="J159" s="201"/>
      <c r="K159" s="201"/>
      <c r="L159" s="201"/>
    </row>
    <row r="160" ht="13.5" customHeight="1" spans="1:12" x14ac:dyDescent="0.25">
      <c r="A160" s="195"/>
      <c r="B160" s="200"/>
      <c r="C160" s="206"/>
      <c r="D160" s="195"/>
      <c r="E160" s="201"/>
      <c r="F160" s="209"/>
      <c r="G160" s="208"/>
      <c r="H160" s="208"/>
      <c r="I160" s="201"/>
      <c r="J160" s="201"/>
      <c r="K160" s="201"/>
      <c r="L160" s="201"/>
    </row>
    <row r="161" ht="13.5" customHeight="1" spans="1:12" x14ac:dyDescent="0.25">
      <c r="A161" s="195"/>
      <c r="B161" s="200"/>
      <c r="C161" s="206"/>
      <c r="D161" s="195"/>
      <c r="E161" s="201"/>
      <c r="F161" s="209"/>
      <c r="G161" s="208"/>
      <c r="H161" s="208"/>
      <c r="I161" s="201"/>
      <c r="J161" s="201"/>
      <c r="K161" s="201"/>
      <c r="L161" s="201"/>
    </row>
    <row r="162" ht="13.5" customHeight="1" spans="1:12" x14ac:dyDescent="0.25">
      <c r="A162" s="195"/>
      <c r="B162" s="200"/>
      <c r="C162" s="206"/>
      <c r="D162" s="195"/>
      <c r="E162" s="201"/>
      <c r="F162" s="209"/>
      <c r="G162" s="208"/>
      <c r="H162" s="208"/>
      <c r="I162" s="201"/>
      <c r="J162" s="201"/>
      <c r="K162" s="201"/>
      <c r="L162" s="201"/>
    </row>
    <row r="163" ht="13.5" customHeight="1" spans="1:12" x14ac:dyDescent="0.25">
      <c r="A163" s="195"/>
      <c r="B163" s="200"/>
      <c r="C163" s="206"/>
      <c r="D163" s="195"/>
      <c r="E163" s="201"/>
      <c r="F163" s="209"/>
      <c r="G163" s="208"/>
      <c r="H163" s="208"/>
      <c r="I163" s="201"/>
      <c r="J163" s="201"/>
      <c r="K163" s="201"/>
      <c r="L163" s="201"/>
    </row>
    <row r="164" ht="13.5" customHeight="1" spans="1:12" x14ac:dyDescent="0.25">
      <c r="A164" s="195"/>
      <c r="B164" s="200"/>
      <c r="C164" s="206"/>
      <c r="D164" s="195"/>
      <c r="E164" s="201"/>
      <c r="F164" s="199"/>
      <c r="G164" s="201"/>
      <c r="H164" s="201"/>
      <c r="I164" s="201"/>
      <c r="J164" s="201"/>
      <c r="K164" s="201"/>
      <c r="L164" s="201"/>
    </row>
    <row r="165" ht="13.5" customHeight="1" spans="1:12" x14ac:dyDescent="0.25">
      <c r="A165" s="195"/>
      <c r="B165" s="200"/>
      <c r="C165" s="206"/>
      <c r="D165" s="195"/>
      <c r="E165" s="201"/>
      <c r="F165" s="199"/>
      <c r="G165" s="201"/>
      <c r="H165" s="201"/>
      <c r="I165" s="201"/>
      <c r="J165" s="201"/>
      <c r="K165" s="201"/>
      <c r="L165" s="201"/>
    </row>
    <row r="166" ht="13.5" customHeight="1" spans="1:12" x14ac:dyDescent="0.25">
      <c r="A166" s="195"/>
      <c r="B166" s="200"/>
      <c r="C166" s="206"/>
      <c r="D166" s="195"/>
      <c r="E166" s="201"/>
      <c r="F166" s="199"/>
      <c r="G166" s="201"/>
      <c r="H166" s="201"/>
      <c r="I166" s="201"/>
      <c r="J166" s="201"/>
      <c r="K166" s="201"/>
      <c r="L166" s="201"/>
    </row>
    <row r="167" ht="13.5" customHeight="1" spans="1:12" x14ac:dyDescent="0.25">
      <c r="A167" s="195"/>
      <c r="B167" s="200"/>
      <c r="C167" s="206"/>
      <c r="D167" s="195"/>
      <c r="E167" s="201"/>
      <c r="F167" s="199"/>
      <c r="G167" s="201"/>
      <c r="H167" s="201"/>
      <c r="I167" s="201"/>
      <c r="J167" s="201"/>
      <c r="K167" s="201"/>
      <c r="L167" s="201"/>
    </row>
    <row r="168" ht="13.5" customHeight="1" spans="1:12" x14ac:dyDescent="0.25">
      <c r="A168" s="195"/>
      <c r="B168" s="200"/>
      <c r="C168" s="206"/>
      <c r="D168" s="195"/>
      <c r="E168" s="201"/>
      <c r="F168" s="199"/>
      <c r="G168" s="201"/>
      <c r="H168" s="201"/>
      <c r="I168" s="201"/>
      <c r="J168" s="201"/>
      <c r="K168" s="201"/>
      <c r="L168" s="201"/>
    </row>
    <row r="169" ht="13.5" customHeight="1" spans="1:12" x14ac:dyDescent="0.25">
      <c r="A169" s="195"/>
      <c r="B169" s="200"/>
      <c r="C169" s="206"/>
      <c r="D169" s="195"/>
      <c r="E169" s="201"/>
      <c r="F169" s="199"/>
      <c r="G169" s="201"/>
      <c r="H169" s="201"/>
      <c r="I169" s="201"/>
      <c r="J169" s="201"/>
      <c r="K169" s="201"/>
      <c r="L169" s="201"/>
    </row>
    <row r="170" ht="13.5" customHeight="1" spans="1:12" x14ac:dyDescent="0.25">
      <c r="A170" s="195"/>
      <c r="B170" s="200"/>
      <c r="C170" s="206"/>
      <c r="D170" s="195"/>
      <c r="E170" s="201"/>
      <c r="F170" s="199"/>
      <c r="G170" s="201"/>
      <c r="H170" s="201"/>
      <c r="I170" s="201"/>
      <c r="J170" s="201"/>
      <c r="K170" s="201"/>
      <c r="L170" s="201"/>
    </row>
    <row r="171" ht="13.5" customHeight="1" spans="1:12" x14ac:dyDescent="0.25">
      <c r="A171" s="195"/>
      <c r="B171" s="200"/>
      <c r="C171" s="206"/>
      <c r="D171" s="195"/>
      <c r="E171" s="201"/>
      <c r="F171" s="199"/>
      <c r="G171" s="201"/>
      <c r="H171" s="201"/>
      <c r="I171" s="201"/>
      <c r="J171" s="201"/>
      <c r="K171" s="201"/>
      <c r="L171" s="201"/>
    </row>
    <row r="172" ht="13.5" customHeight="1" spans="1:12" x14ac:dyDescent="0.25">
      <c r="A172" s="195"/>
      <c r="B172" s="200"/>
      <c r="C172" s="206"/>
      <c r="D172" s="195"/>
      <c r="E172" s="201"/>
      <c r="F172" s="199"/>
      <c r="G172" s="201"/>
      <c r="H172" s="201"/>
      <c r="I172" s="201"/>
      <c r="J172" s="201"/>
      <c r="K172" s="201"/>
      <c r="L172" s="201"/>
    </row>
    <row r="173" ht="13.5" customHeight="1" spans="1:12" x14ac:dyDescent="0.25">
      <c r="A173" s="211"/>
      <c r="B173" s="212"/>
      <c r="C173" s="213"/>
      <c r="D173" s="211"/>
      <c r="E173" s="214"/>
      <c r="F173" s="204"/>
      <c r="G173" s="201"/>
      <c r="H173" s="214"/>
      <c r="I173" s="214"/>
      <c r="J173" s="214"/>
      <c r="K173" s="214"/>
      <c r="L173" s="214"/>
    </row>
    <row r="174" ht="13.5" customHeight="1" spans="1:12" x14ac:dyDescent="0.25">
      <c r="A174" s="211"/>
      <c r="B174" s="212"/>
      <c r="C174" s="213"/>
      <c r="D174" s="211"/>
      <c r="E174" s="214"/>
      <c r="F174" s="204"/>
      <c r="G174" s="201"/>
      <c r="H174" s="214"/>
      <c r="I174" s="214"/>
      <c r="J174" s="214"/>
      <c r="K174" s="214"/>
      <c r="L174" s="214"/>
    </row>
    <row r="175" ht="13.5" customHeight="1" spans="1:12" x14ac:dyDescent="0.25">
      <c r="A175" s="211"/>
      <c r="B175" s="212"/>
      <c r="C175" s="213"/>
      <c r="D175" s="211"/>
      <c r="E175" s="214"/>
      <c r="F175" s="204"/>
      <c r="G175" s="201"/>
      <c r="H175" s="214"/>
      <c r="I175" s="214"/>
      <c r="J175" s="214"/>
      <c r="K175" s="214"/>
      <c r="L175" s="214"/>
    </row>
    <row r="176" ht="13.5" customHeight="1" spans="1:12" x14ac:dyDescent="0.25">
      <c r="A176" s="211"/>
      <c r="B176" s="212"/>
      <c r="C176" s="213"/>
      <c r="D176" s="211"/>
      <c r="E176" s="214"/>
      <c r="F176" s="204"/>
      <c r="G176" s="201"/>
      <c r="H176" s="214"/>
      <c r="I176" s="214"/>
      <c r="J176" s="214"/>
      <c r="K176" s="214"/>
      <c r="L176" s="214"/>
    </row>
    <row r="177" ht="13.5" customHeight="1" spans="1:12" x14ac:dyDescent="0.25">
      <c r="A177" s="211"/>
      <c r="B177" s="212"/>
      <c r="C177" s="213"/>
      <c r="D177" s="211"/>
      <c r="E177" s="214"/>
      <c r="F177" s="204"/>
      <c r="G177" s="201"/>
      <c r="H177" s="214"/>
      <c r="I177" s="214"/>
      <c r="J177" s="214"/>
      <c r="K177" s="214"/>
      <c r="L177" s="214"/>
    </row>
    <row r="178" ht="13.5" customHeight="1" spans="1:12" x14ac:dyDescent="0.25">
      <c r="A178" s="211"/>
      <c r="B178" s="212"/>
      <c r="C178" s="213"/>
      <c r="D178" s="211"/>
      <c r="E178" s="214"/>
      <c r="F178" s="204"/>
      <c r="G178" s="201"/>
      <c r="H178" s="214"/>
      <c r="I178" s="214"/>
      <c r="J178" s="214"/>
      <c r="K178" s="214"/>
      <c r="L178" s="214"/>
    </row>
    <row r="179" ht="13.5" customHeight="1" spans="1:12" x14ac:dyDescent="0.25">
      <c r="A179" s="211"/>
      <c r="B179" s="212"/>
      <c r="C179" s="213"/>
      <c r="D179" s="211"/>
      <c r="E179" s="214"/>
      <c r="F179" s="204"/>
      <c r="G179" s="201"/>
      <c r="H179" s="214"/>
      <c r="I179" s="214"/>
      <c r="J179" s="214"/>
      <c r="K179" s="214"/>
      <c r="L179" s="214"/>
    </row>
    <row r="180" ht="13.5" customHeight="1" spans="1:12" x14ac:dyDescent="0.25">
      <c r="A180" s="211"/>
      <c r="B180" s="212"/>
      <c r="C180" s="213"/>
      <c r="D180" s="211"/>
      <c r="E180" s="214"/>
      <c r="F180" s="204"/>
      <c r="G180" s="201"/>
      <c r="H180" s="214"/>
      <c r="I180" s="214"/>
      <c r="J180" s="214"/>
      <c r="K180" s="214"/>
      <c r="L180" s="214"/>
    </row>
    <row r="181" ht="13.5" customHeight="1" spans="1:12" x14ac:dyDescent="0.25">
      <c r="A181" s="211"/>
      <c r="B181" s="212"/>
      <c r="C181" s="213"/>
      <c r="D181" s="211"/>
      <c r="E181" s="214"/>
      <c r="F181" s="204"/>
      <c r="G181" s="201"/>
      <c r="H181" s="214"/>
      <c r="I181" s="214"/>
      <c r="J181" s="214"/>
      <c r="K181" s="214"/>
      <c r="L181" s="214"/>
    </row>
    <row r="182" ht="13.5" customHeight="1" spans="1:12" x14ac:dyDescent="0.25">
      <c r="A182" s="211"/>
      <c r="B182" s="212"/>
      <c r="C182" s="213"/>
      <c r="D182" s="211"/>
      <c r="E182" s="214"/>
      <c r="F182" s="204"/>
      <c r="G182" s="201"/>
      <c r="H182" s="214"/>
      <c r="I182" s="214"/>
      <c r="J182" s="214"/>
      <c r="K182" s="214"/>
      <c r="L182" s="214"/>
    </row>
    <row r="183" ht="13.5" customHeight="1" spans="1:12" x14ac:dyDescent="0.25">
      <c r="A183" s="211"/>
      <c r="B183" s="212"/>
      <c r="C183" s="213"/>
      <c r="D183" s="211"/>
      <c r="E183" s="214"/>
      <c r="F183" s="204"/>
      <c r="G183" s="201"/>
      <c r="H183" s="214"/>
      <c r="I183" s="214"/>
      <c r="J183" s="214"/>
      <c r="K183" s="214"/>
      <c r="L183" s="214"/>
    </row>
    <row r="184" ht="13.5" customHeight="1" spans="1:12" x14ac:dyDescent="0.25">
      <c r="A184" s="211"/>
      <c r="B184" s="212"/>
      <c r="C184" s="213"/>
      <c r="D184" s="211"/>
      <c r="E184" s="214"/>
      <c r="F184" s="204"/>
      <c r="G184" s="201"/>
      <c r="H184" s="214"/>
      <c r="I184" s="214"/>
      <c r="J184" s="214"/>
      <c r="K184" s="214"/>
      <c r="L184" s="214"/>
    </row>
    <row r="185" ht="13.5" customHeight="1" spans="1:12" x14ac:dyDescent="0.25">
      <c r="A185" s="211"/>
      <c r="B185" s="212"/>
      <c r="C185" s="213"/>
      <c r="D185" s="211"/>
      <c r="E185" s="214"/>
      <c r="F185" s="204"/>
      <c r="G185" s="201"/>
      <c r="H185" s="214"/>
      <c r="I185" s="214"/>
      <c r="J185" s="214"/>
      <c r="K185" s="214"/>
      <c r="L185" s="214"/>
    </row>
    <row r="186" ht="13.5" customHeight="1" spans="1:12" x14ac:dyDescent="0.25">
      <c r="A186" s="211"/>
      <c r="B186" s="212"/>
      <c r="C186" s="213"/>
      <c r="D186" s="211"/>
      <c r="E186" s="214"/>
      <c r="F186" s="204"/>
      <c r="G186" s="201"/>
      <c r="H186" s="214"/>
      <c r="I186" s="214"/>
      <c r="J186" s="214"/>
      <c r="K186" s="214"/>
      <c r="L186" s="214"/>
    </row>
    <row r="187" ht="13.5" customHeight="1" spans="1:12" x14ac:dyDescent="0.25">
      <c r="A187" s="211"/>
      <c r="B187" s="212"/>
      <c r="C187" s="213"/>
      <c r="D187" s="211"/>
      <c r="E187" s="214"/>
      <c r="F187" s="204"/>
      <c r="G187" s="201"/>
      <c r="H187" s="214"/>
      <c r="I187" s="214"/>
      <c r="J187" s="214"/>
      <c r="K187" s="214"/>
      <c r="L187" s="214"/>
    </row>
    <row r="188" ht="13.5" customHeight="1" spans="1:12" x14ac:dyDescent="0.25">
      <c r="A188" s="211"/>
      <c r="B188" s="212"/>
      <c r="C188" s="213"/>
      <c r="D188" s="211"/>
      <c r="E188" s="214"/>
      <c r="F188" s="204"/>
      <c r="G188" s="201"/>
      <c r="H188" s="214"/>
      <c r="I188" s="214"/>
      <c r="J188" s="214"/>
      <c r="K188" s="214"/>
      <c r="L188" s="214"/>
    </row>
    <row r="189" ht="13.5" customHeight="1" spans="1:12" x14ac:dyDescent="0.25">
      <c r="A189" s="211"/>
      <c r="B189" s="212"/>
      <c r="C189" s="213"/>
      <c r="D189" s="211"/>
      <c r="E189" s="214"/>
      <c r="F189" s="204"/>
      <c r="G189" s="201"/>
      <c r="H189" s="214"/>
      <c r="I189" s="214"/>
      <c r="J189" s="214"/>
      <c r="K189" s="214"/>
      <c r="L189" s="214"/>
    </row>
    <row r="190" ht="13.5" customHeight="1" spans="1:12" x14ac:dyDescent="0.25">
      <c r="A190" s="211"/>
      <c r="B190" s="212"/>
      <c r="C190" s="213"/>
      <c r="D190" s="211"/>
      <c r="E190" s="214"/>
      <c r="F190" s="204"/>
      <c r="G190" s="201"/>
      <c r="H190" s="214"/>
      <c r="I190" s="214"/>
      <c r="J190" s="214"/>
      <c r="K190" s="214"/>
      <c r="L190" s="214"/>
    </row>
    <row r="191" ht="13.5" customHeight="1" spans="1:12" x14ac:dyDescent="0.25">
      <c r="A191" s="211"/>
      <c r="B191" s="212"/>
      <c r="C191" s="213"/>
      <c r="D191" s="211"/>
      <c r="E191" s="214"/>
      <c r="F191" s="204"/>
      <c r="G191" s="201"/>
      <c r="H191" s="214"/>
      <c r="I191" s="214"/>
      <c r="J191" s="214"/>
      <c r="K191" s="214"/>
      <c r="L191" s="214"/>
    </row>
    <row r="192" ht="13.5" customHeight="1" spans="1:12" x14ac:dyDescent="0.25">
      <c r="A192" s="211"/>
      <c r="B192" s="212"/>
      <c r="C192" s="213"/>
      <c r="D192" s="211"/>
      <c r="E192" s="214"/>
      <c r="F192" s="204"/>
      <c r="G192" s="201"/>
      <c r="H192" s="214"/>
      <c r="I192" s="214"/>
      <c r="J192" s="214"/>
      <c r="K192" s="214"/>
      <c r="L192" s="214"/>
    </row>
    <row r="193" ht="13.5" customHeight="1" spans="1:12" x14ac:dyDescent="0.25">
      <c r="A193" s="211"/>
      <c r="B193" s="212"/>
      <c r="C193" s="213"/>
      <c r="D193" s="211"/>
      <c r="E193" s="214"/>
      <c r="F193" s="204"/>
      <c r="G193" s="201"/>
      <c r="H193" s="214"/>
      <c r="I193" s="214"/>
      <c r="J193" s="214"/>
      <c r="K193" s="214"/>
      <c r="L193" s="214"/>
    </row>
    <row r="194" ht="13.5" customHeight="1" spans="1:12" x14ac:dyDescent="0.25">
      <c r="A194" s="211"/>
      <c r="B194" s="212"/>
      <c r="C194" s="213"/>
      <c r="D194" s="211"/>
      <c r="E194" s="214"/>
      <c r="F194" s="204"/>
      <c r="G194" s="201"/>
      <c r="H194" s="214"/>
      <c r="I194" s="214"/>
      <c r="J194" s="214"/>
      <c r="K194" s="214"/>
      <c r="L194" s="214"/>
    </row>
    <row r="195" ht="13.5" customHeight="1" spans="1:12" x14ac:dyDescent="0.25">
      <c r="A195" s="211"/>
      <c r="B195" s="212"/>
      <c r="C195" s="213"/>
      <c r="D195" s="211"/>
      <c r="E195" s="214"/>
      <c r="F195" s="204"/>
      <c r="G195" s="201"/>
      <c r="H195" s="214"/>
      <c r="I195" s="214"/>
      <c r="J195" s="214"/>
      <c r="K195" s="214"/>
      <c r="L195" s="214"/>
    </row>
    <row r="196" ht="13.5" customHeight="1" spans="1:12" x14ac:dyDescent="0.25">
      <c r="A196" s="211"/>
      <c r="B196" s="212"/>
      <c r="C196" s="213"/>
      <c r="D196" s="211"/>
      <c r="E196" s="214"/>
      <c r="F196" s="204"/>
      <c r="G196" s="201"/>
      <c r="H196" s="214"/>
      <c r="I196" s="214"/>
      <c r="J196" s="214"/>
      <c r="K196" s="214"/>
      <c r="L196" s="214"/>
    </row>
    <row r="197" ht="13.5" customHeight="1" spans="1:12" x14ac:dyDescent="0.25">
      <c r="A197" s="211"/>
      <c r="B197" s="212"/>
      <c r="C197" s="213"/>
      <c r="D197" s="211"/>
      <c r="E197" s="214"/>
      <c r="F197" s="204"/>
      <c r="G197" s="201"/>
      <c r="H197" s="214"/>
      <c r="I197" s="214"/>
      <c r="J197" s="214"/>
      <c r="K197" s="214"/>
      <c r="L197" s="214"/>
    </row>
    <row r="198" ht="13.5" customHeight="1" spans="1:12" x14ac:dyDescent="0.25">
      <c r="A198" s="211"/>
      <c r="B198" s="212"/>
      <c r="C198" s="213"/>
      <c r="D198" s="211"/>
      <c r="E198" s="214"/>
      <c r="F198" s="204"/>
      <c r="G198" s="201"/>
      <c r="H198" s="214"/>
      <c r="I198" s="214"/>
      <c r="J198" s="214"/>
      <c r="K198" s="214"/>
      <c r="L198" s="214"/>
    </row>
    <row r="199" ht="13.5" customHeight="1" spans="1:12" x14ac:dyDescent="0.25">
      <c r="A199" s="211"/>
      <c r="B199" s="212"/>
      <c r="C199" s="213"/>
      <c r="D199" s="211"/>
      <c r="E199" s="214"/>
      <c r="F199" s="204"/>
      <c r="G199" s="201"/>
      <c r="H199" s="214"/>
      <c r="I199" s="214"/>
      <c r="J199" s="214"/>
      <c r="K199" s="214"/>
      <c r="L199" s="214"/>
    </row>
    <row r="200" ht="13.5" customHeight="1" spans="1:12" x14ac:dyDescent="0.25">
      <c r="A200" s="211"/>
      <c r="B200" s="212"/>
      <c r="C200" s="213"/>
      <c r="D200" s="211"/>
      <c r="E200" s="214"/>
      <c r="F200" s="204"/>
      <c r="G200" s="201"/>
      <c r="H200" s="214"/>
      <c r="I200" s="214"/>
      <c r="J200" s="214"/>
      <c r="K200" s="214"/>
      <c r="L200" s="214"/>
    </row>
    <row r="201" ht="13.5" customHeight="1" spans="1:12" x14ac:dyDescent="0.25">
      <c r="A201" s="211"/>
      <c r="B201" s="212"/>
      <c r="C201" s="213"/>
      <c r="D201" s="211"/>
      <c r="E201" s="214"/>
      <c r="F201" s="204"/>
      <c r="G201" s="201"/>
      <c r="H201" s="214"/>
      <c r="I201" s="214"/>
      <c r="J201" s="214"/>
      <c r="K201" s="214"/>
      <c r="L201" s="214"/>
    </row>
    <row r="202" ht="13.5" customHeight="1" spans="1:12" x14ac:dyDescent="0.25">
      <c r="A202" s="211"/>
      <c r="B202" s="212"/>
      <c r="C202" s="213"/>
      <c r="D202" s="211"/>
      <c r="E202" s="214"/>
      <c r="F202" s="204"/>
      <c r="G202" s="201"/>
      <c r="H202" s="214"/>
      <c r="I202" s="214"/>
      <c r="J202" s="214"/>
      <c r="K202" s="214"/>
      <c r="L202" s="214"/>
    </row>
    <row r="203" ht="13.5" customHeight="1" spans="1:12" x14ac:dyDescent="0.25">
      <c r="A203" s="211"/>
      <c r="B203" s="212"/>
      <c r="C203" s="213"/>
      <c r="D203" s="211"/>
      <c r="E203" s="214"/>
      <c r="F203" s="204"/>
      <c r="G203" s="201"/>
      <c r="H203" s="214"/>
      <c r="I203" s="214"/>
      <c r="J203" s="214"/>
      <c r="K203" s="214"/>
      <c r="L203" s="214"/>
    </row>
    <row r="204" ht="13.5" customHeight="1" spans="1:12" x14ac:dyDescent="0.25">
      <c r="A204" s="211"/>
      <c r="B204" s="212"/>
      <c r="C204" s="213"/>
      <c r="D204" s="211"/>
      <c r="E204" s="214"/>
      <c r="F204" s="204"/>
      <c r="G204" s="201"/>
      <c r="H204" s="214"/>
      <c r="I204" s="214"/>
      <c r="J204" s="214"/>
      <c r="K204" s="214"/>
      <c r="L204" s="214"/>
    </row>
    <row r="205" ht="13.5" customHeight="1" spans="1:12" x14ac:dyDescent="0.25">
      <c r="A205" s="211"/>
      <c r="B205" s="212"/>
      <c r="C205" s="213"/>
      <c r="D205" s="211"/>
      <c r="E205" s="214"/>
      <c r="F205" s="204"/>
      <c r="G205" s="201"/>
      <c r="H205" s="214"/>
      <c r="I205" s="214"/>
      <c r="J205" s="214"/>
      <c r="K205" s="214"/>
      <c r="L205" s="214"/>
    </row>
    <row r="206" ht="13.5" customHeight="1" spans="1:12" x14ac:dyDescent="0.25">
      <c r="A206" s="211"/>
      <c r="B206" s="212"/>
      <c r="C206" s="213"/>
      <c r="D206" s="211"/>
      <c r="E206" s="214"/>
      <c r="F206" s="204"/>
      <c r="G206" s="201"/>
      <c r="H206" s="214"/>
      <c r="I206" s="214"/>
      <c r="J206" s="214"/>
      <c r="K206" s="214"/>
      <c r="L206" s="214"/>
    </row>
    <row r="207" ht="13.5" customHeight="1" spans="1:12" x14ac:dyDescent="0.25">
      <c r="A207" s="211"/>
      <c r="B207" s="212"/>
      <c r="C207" s="213"/>
      <c r="D207" s="211"/>
      <c r="E207" s="214"/>
      <c r="F207" s="204"/>
      <c r="G207" s="201"/>
      <c r="H207" s="214"/>
      <c r="I207" s="214"/>
      <c r="J207" s="214"/>
      <c r="K207" s="214"/>
      <c r="L207" s="214"/>
    </row>
    <row r="208" ht="13.5" customHeight="1" spans="1:12" x14ac:dyDescent="0.25">
      <c r="A208" s="211"/>
      <c r="B208" s="212"/>
      <c r="C208" s="213"/>
      <c r="D208" s="211"/>
      <c r="E208" s="214"/>
      <c r="F208" s="204"/>
      <c r="G208" s="201"/>
      <c r="H208" s="214"/>
      <c r="I208" s="214"/>
      <c r="J208" s="214"/>
      <c r="K208" s="214"/>
      <c r="L208" s="214"/>
    </row>
    <row r="209" ht="13.5" customHeight="1" spans="1:12" x14ac:dyDescent="0.25">
      <c r="A209" s="211"/>
      <c r="B209" s="212"/>
      <c r="C209" s="213"/>
      <c r="D209" s="211"/>
      <c r="E209" s="214"/>
      <c r="F209" s="204"/>
      <c r="G209" s="201"/>
      <c r="H209" s="214"/>
      <c r="I209" s="214"/>
      <c r="J209" s="214"/>
      <c r="K209" s="214"/>
      <c r="L209" s="214"/>
    </row>
    <row r="210" ht="13.5" customHeight="1" spans="1:12" x14ac:dyDescent="0.25">
      <c r="A210" s="211"/>
      <c r="B210" s="212"/>
      <c r="C210" s="213"/>
      <c r="D210" s="211"/>
      <c r="E210" s="214"/>
      <c r="F210" s="204"/>
      <c r="G210" s="201"/>
      <c r="H210" s="214"/>
      <c r="I210" s="214"/>
      <c r="J210" s="214"/>
      <c r="K210" s="214"/>
      <c r="L210" s="214"/>
    </row>
    <row r="211" ht="13.5" customHeight="1" spans="1:12" x14ac:dyDescent="0.25">
      <c r="A211" s="211"/>
      <c r="B211" s="212"/>
      <c r="C211" s="213"/>
      <c r="D211" s="211"/>
      <c r="E211" s="214"/>
      <c r="F211" s="204"/>
      <c r="G211" s="201"/>
      <c r="H211" s="214"/>
      <c r="I211" s="214"/>
      <c r="J211" s="214"/>
      <c r="K211" s="214"/>
      <c r="L211" s="214"/>
    </row>
    <row r="212" ht="13.5" customHeight="1" spans="1:12" x14ac:dyDescent="0.25">
      <c r="A212" s="211"/>
      <c r="B212" s="212"/>
      <c r="C212" s="213"/>
      <c r="D212" s="211"/>
      <c r="E212" s="214"/>
      <c r="F212" s="204"/>
      <c r="G212" s="201"/>
      <c r="H212" s="214"/>
      <c r="I212" s="214"/>
      <c r="J212" s="214"/>
      <c r="K212" s="214"/>
      <c r="L212" s="214"/>
    </row>
    <row r="213" ht="13.5" customHeight="1" spans="1:12" x14ac:dyDescent="0.25">
      <c r="A213" s="211"/>
      <c r="B213" s="212"/>
      <c r="C213" s="213"/>
      <c r="D213" s="211"/>
      <c r="E213" s="214"/>
      <c r="F213" s="204"/>
      <c r="G213" s="201"/>
      <c r="H213" s="214"/>
      <c r="I213" s="214"/>
      <c r="J213" s="214"/>
      <c r="K213" s="214"/>
      <c r="L213" s="214"/>
    </row>
    <row r="214" ht="13.5" customHeight="1" spans="1:12" x14ac:dyDescent="0.25">
      <c r="A214" s="211"/>
      <c r="B214" s="212"/>
      <c r="C214" s="213"/>
      <c r="D214" s="211"/>
      <c r="E214" s="214"/>
      <c r="F214" s="204"/>
      <c r="G214" s="201"/>
      <c r="H214" s="214"/>
      <c r="I214" s="214"/>
      <c r="J214" s="214"/>
      <c r="K214" s="214"/>
      <c r="L214" s="214"/>
    </row>
    <row r="215" ht="13.5" customHeight="1" spans="1:12" x14ac:dyDescent="0.25">
      <c r="A215" s="211"/>
      <c r="B215" s="212"/>
      <c r="C215" s="213"/>
      <c r="D215" s="211"/>
      <c r="E215" s="214"/>
      <c r="F215" s="204"/>
      <c r="G215" s="201"/>
      <c r="H215" s="214"/>
      <c r="I215" s="214"/>
      <c r="J215" s="214"/>
      <c r="K215" s="214"/>
      <c r="L215" s="214"/>
    </row>
    <row r="216" ht="13.5" customHeight="1" spans="1:12" x14ac:dyDescent="0.25">
      <c r="A216" s="211"/>
      <c r="B216" s="212"/>
      <c r="C216" s="213"/>
      <c r="D216" s="211"/>
      <c r="E216" s="214"/>
      <c r="F216" s="204"/>
      <c r="G216" s="201"/>
      <c r="H216" s="214"/>
      <c r="I216" s="214"/>
      <c r="J216" s="214"/>
      <c r="K216" s="214"/>
      <c r="L216" s="214"/>
    </row>
    <row r="217" ht="13.5" customHeight="1" spans="1:12" x14ac:dyDescent="0.25">
      <c r="A217" s="211"/>
      <c r="B217" s="212"/>
      <c r="C217" s="213"/>
      <c r="D217" s="211"/>
      <c r="E217" s="214"/>
      <c r="F217" s="204"/>
      <c r="G217" s="201"/>
      <c r="H217" s="214"/>
      <c r="I217" s="214"/>
      <c r="J217" s="214"/>
      <c r="K217" s="214"/>
      <c r="L217" s="214"/>
    </row>
    <row r="218" ht="13.5" customHeight="1" spans="1:12" x14ac:dyDescent="0.25">
      <c r="A218" s="211"/>
      <c r="B218" s="212"/>
      <c r="C218" s="213"/>
      <c r="D218" s="211"/>
      <c r="E218" s="214"/>
      <c r="F218" s="204"/>
      <c r="G218" s="201"/>
      <c r="H218" s="214"/>
      <c r="I218" s="214"/>
      <c r="J218" s="214"/>
      <c r="K218" s="214"/>
      <c r="L218" s="214"/>
    </row>
    <row r="219" ht="13.5" customHeight="1" spans="1:12" x14ac:dyDescent="0.25">
      <c r="A219" s="211"/>
      <c r="B219" s="212"/>
      <c r="C219" s="213"/>
      <c r="D219" s="211"/>
      <c r="E219" s="214"/>
      <c r="F219" s="204"/>
      <c r="G219" s="201"/>
      <c r="H219" s="214"/>
      <c r="I219" s="214"/>
      <c r="J219" s="214"/>
      <c r="K219" s="214"/>
      <c r="L219" s="214"/>
    </row>
    <row r="220" ht="13.5" customHeight="1" spans="1:12" x14ac:dyDescent="0.25">
      <c r="A220" s="211"/>
      <c r="B220" s="212"/>
      <c r="C220" s="213"/>
      <c r="D220" s="211"/>
      <c r="E220" s="214"/>
      <c r="F220" s="204"/>
      <c r="G220" s="201"/>
      <c r="H220" s="214"/>
      <c r="I220" s="214"/>
      <c r="J220" s="214"/>
      <c r="K220" s="214"/>
      <c r="L220" s="214"/>
    </row>
    <row r="221" ht="13.5" customHeight="1" spans="1:12" x14ac:dyDescent="0.25">
      <c r="A221" s="211"/>
      <c r="B221" s="212"/>
      <c r="C221" s="213"/>
      <c r="D221" s="211"/>
      <c r="E221" s="214"/>
      <c r="F221" s="204"/>
      <c r="G221" s="201"/>
      <c r="H221" s="214"/>
      <c r="I221" s="214"/>
      <c r="J221" s="214"/>
      <c r="K221" s="214"/>
      <c r="L221" s="214"/>
    </row>
    <row r="222" ht="13.5" customHeight="1" spans="1:12" x14ac:dyDescent="0.25">
      <c r="A222" s="211"/>
      <c r="B222" s="212"/>
      <c r="C222" s="213"/>
      <c r="D222" s="211"/>
      <c r="E222" s="214"/>
      <c r="F222" s="204"/>
      <c r="G222" s="201"/>
      <c r="H222" s="214"/>
      <c r="I222" s="214"/>
      <c r="J222" s="214"/>
      <c r="K222" s="214"/>
      <c r="L222" s="214"/>
    </row>
    <row r="223" ht="13.5" customHeight="1" spans="1:12" x14ac:dyDescent="0.25">
      <c r="A223" s="211"/>
      <c r="B223" s="212"/>
      <c r="C223" s="213"/>
      <c r="D223" s="211"/>
      <c r="E223" s="214"/>
      <c r="F223" s="204"/>
      <c r="G223" s="201"/>
      <c r="H223" s="214"/>
      <c r="I223" s="214"/>
      <c r="J223" s="214"/>
      <c r="K223" s="214"/>
      <c r="L223" s="214"/>
    </row>
    <row r="224" ht="13.5" customHeight="1" spans="1:12" x14ac:dyDescent="0.25">
      <c r="A224" s="211"/>
      <c r="B224" s="212"/>
      <c r="C224" s="213"/>
      <c r="D224" s="211"/>
      <c r="E224" s="214"/>
      <c r="F224" s="204"/>
      <c r="G224" s="201"/>
      <c r="H224" s="214"/>
      <c r="I224" s="214"/>
      <c r="J224" s="214"/>
      <c r="K224" s="214"/>
      <c r="L224" s="214"/>
    </row>
    <row r="225" ht="13.5" customHeight="1" spans="1:12" x14ac:dyDescent="0.25">
      <c r="A225" s="211"/>
      <c r="B225" s="212"/>
      <c r="C225" s="213"/>
      <c r="D225" s="211"/>
      <c r="E225" s="214"/>
      <c r="F225" s="204"/>
      <c r="G225" s="201"/>
      <c r="H225" s="214"/>
      <c r="I225" s="214"/>
      <c r="J225" s="214"/>
      <c r="K225" s="214"/>
      <c r="L225" s="214"/>
    </row>
    <row r="226" ht="13.5" customHeight="1" spans="1:12" x14ac:dyDescent="0.25">
      <c r="A226" s="211"/>
      <c r="B226" s="212"/>
      <c r="C226" s="213"/>
      <c r="D226" s="211"/>
      <c r="E226" s="214"/>
      <c r="F226" s="204"/>
      <c r="G226" s="201"/>
      <c r="H226" s="214"/>
      <c r="I226" s="214"/>
      <c r="J226" s="214"/>
      <c r="K226" s="214"/>
      <c r="L226" s="214"/>
    </row>
    <row r="227" ht="13.5" customHeight="1" spans="1:12" x14ac:dyDescent="0.25">
      <c r="A227" s="211"/>
      <c r="B227" s="212"/>
      <c r="C227" s="213"/>
      <c r="D227" s="211"/>
      <c r="E227" s="214"/>
      <c r="F227" s="204"/>
      <c r="G227" s="201"/>
      <c r="H227" s="214"/>
      <c r="I227" s="214"/>
      <c r="J227" s="214"/>
      <c r="K227" s="214"/>
      <c r="L227" s="214"/>
    </row>
    <row r="228" ht="13.5" customHeight="1" spans="1:12" x14ac:dyDescent="0.25">
      <c r="A228" s="211"/>
      <c r="B228" s="212"/>
      <c r="C228" s="213"/>
      <c r="D228" s="211"/>
      <c r="E228" s="214"/>
      <c r="F228" s="204"/>
      <c r="G228" s="201"/>
      <c r="H228" s="214"/>
      <c r="I228" s="214"/>
      <c r="J228" s="214"/>
      <c r="K228" s="214"/>
      <c r="L228" s="214"/>
    </row>
    <row r="229" ht="13.5" customHeight="1" spans="1:12" x14ac:dyDescent="0.25">
      <c r="A229" s="211"/>
      <c r="B229" s="212"/>
      <c r="C229" s="213"/>
      <c r="D229" s="211"/>
      <c r="E229" s="214"/>
      <c r="F229" s="204"/>
      <c r="G229" s="201"/>
      <c r="H229" s="214"/>
      <c r="I229" s="214"/>
      <c r="J229" s="214"/>
      <c r="K229" s="214"/>
      <c r="L229" s="214"/>
    </row>
    <row r="230" ht="13.5" customHeight="1" spans="1:12" x14ac:dyDescent="0.25">
      <c r="A230" s="211"/>
      <c r="B230" s="212"/>
      <c r="C230" s="213"/>
      <c r="D230" s="211"/>
      <c r="E230" s="214"/>
      <c r="F230" s="204"/>
      <c r="G230" s="201"/>
      <c r="H230" s="214"/>
      <c r="I230" s="214"/>
      <c r="J230" s="214"/>
      <c r="K230" s="214"/>
      <c r="L230" s="214"/>
    </row>
    <row r="231" ht="13.5" customHeight="1" spans="1:12" x14ac:dyDescent="0.25">
      <c r="A231" s="211"/>
      <c r="B231" s="212"/>
      <c r="C231" s="213"/>
      <c r="D231" s="211"/>
      <c r="E231" s="214"/>
      <c r="F231" s="204"/>
      <c r="G231" s="201"/>
      <c r="H231" s="214"/>
      <c r="I231" s="214"/>
      <c r="J231" s="214"/>
      <c r="K231" s="214"/>
      <c r="L231" s="214"/>
    </row>
    <row r="232" ht="13.5" customHeight="1" spans="1:12" x14ac:dyDescent="0.25">
      <c r="A232" s="211"/>
      <c r="B232" s="212"/>
      <c r="C232" s="213"/>
      <c r="D232" s="211"/>
      <c r="E232" s="214"/>
      <c r="F232" s="204"/>
      <c r="G232" s="201"/>
      <c r="H232" s="214"/>
      <c r="I232" s="214"/>
      <c r="J232" s="214"/>
      <c r="K232" s="214"/>
      <c r="L232" s="214"/>
    </row>
    <row r="233" ht="13.5" customHeight="1" spans="1:12" x14ac:dyDescent="0.25">
      <c r="A233" s="211"/>
      <c r="B233" s="212"/>
      <c r="C233" s="213"/>
      <c r="D233" s="211"/>
      <c r="E233" s="214"/>
      <c r="F233" s="204"/>
      <c r="G233" s="201"/>
      <c r="H233" s="214"/>
      <c r="I233" s="214"/>
      <c r="J233" s="214"/>
      <c r="K233" s="214"/>
      <c r="L233" s="214"/>
    </row>
    <row r="234" ht="13.5" customHeight="1" spans="1:12" x14ac:dyDescent="0.25">
      <c r="A234" s="211"/>
      <c r="B234" s="212"/>
      <c r="C234" s="213"/>
      <c r="D234" s="211"/>
      <c r="E234" s="214"/>
      <c r="F234" s="204"/>
      <c r="G234" s="201"/>
      <c r="H234" s="214"/>
      <c r="I234" s="214"/>
      <c r="J234" s="214"/>
      <c r="K234" s="214"/>
      <c r="L234" s="214"/>
    </row>
    <row r="235" ht="13.5" customHeight="1" spans="1:12" x14ac:dyDescent="0.25">
      <c r="A235" s="211"/>
      <c r="B235" s="212"/>
      <c r="C235" s="213"/>
      <c r="D235" s="211"/>
      <c r="E235" s="214"/>
      <c r="F235" s="204"/>
      <c r="G235" s="201"/>
      <c r="H235" s="214"/>
      <c r="I235" s="214"/>
      <c r="J235" s="214"/>
      <c r="K235" s="214"/>
      <c r="L235" s="214"/>
    </row>
    <row r="236" ht="13.5" customHeight="1" spans="1:12" x14ac:dyDescent="0.25">
      <c r="A236" s="211"/>
      <c r="B236" s="212"/>
      <c r="C236" s="213"/>
      <c r="D236" s="211"/>
      <c r="E236" s="214"/>
      <c r="F236" s="204"/>
      <c r="G236" s="201"/>
      <c r="H236" s="214"/>
      <c r="I236" s="214"/>
      <c r="J236" s="214"/>
      <c r="K236" s="214"/>
      <c r="L236" s="214"/>
    </row>
    <row r="237" ht="13.5" customHeight="1" spans="1:12" x14ac:dyDescent="0.25">
      <c r="A237" s="211"/>
      <c r="B237" s="212"/>
      <c r="C237" s="213"/>
      <c r="D237" s="211"/>
      <c r="E237" s="214"/>
      <c r="F237" s="204"/>
      <c r="G237" s="201"/>
      <c r="H237" s="214"/>
      <c r="I237" s="214"/>
      <c r="J237" s="214"/>
      <c r="K237" s="214"/>
      <c r="L237" s="214"/>
    </row>
    <row r="238" ht="13.5" customHeight="1" spans="1:12" x14ac:dyDescent="0.25">
      <c r="A238" s="211"/>
      <c r="B238" s="212"/>
      <c r="C238" s="213"/>
      <c r="D238" s="211"/>
      <c r="E238" s="214"/>
      <c r="F238" s="204"/>
      <c r="G238" s="201"/>
      <c r="H238" s="214"/>
      <c r="I238" s="214"/>
      <c r="J238" s="214"/>
      <c r="K238" s="214"/>
      <c r="L238" s="214"/>
    </row>
    <row r="239" ht="13.5" customHeight="1" spans="1:12" x14ac:dyDescent="0.25">
      <c r="A239" s="211"/>
      <c r="B239" s="212"/>
      <c r="C239" s="213"/>
      <c r="D239" s="211"/>
      <c r="E239" s="214"/>
      <c r="F239" s="204"/>
      <c r="G239" s="201"/>
      <c r="H239" s="214"/>
      <c r="I239" s="214"/>
      <c r="J239" s="214"/>
      <c r="K239" s="214"/>
      <c r="L239" s="214"/>
    </row>
    <row r="240" ht="13.5" customHeight="1" spans="1:12" x14ac:dyDescent="0.25">
      <c r="A240" s="211"/>
      <c r="B240" s="212"/>
      <c r="C240" s="213"/>
      <c r="D240" s="211"/>
      <c r="E240" s="214"/>
      <c r="F240" s="204"/>
      <c r="G240" s="201"/>
      <c r="H240" s="214"/>
      <c r="I240" s="214"/>
      <c r="J240" s="214"/>
      <c r="K240" s="214"/>
      <c r="L240" s="214"/>
    </row>
    <row r="241" ht="13.5" customHeight="1" spans="1:12" x14ac:dyDescent="0.25">
      <c r="A241" s="211"/>
      <c r="B241" s="212"/>
      <c r="C241" s="213"/>
      <c r="D241" s="211"/>
      <c r="E241" s="214"/>
      <c r="F241" s="204"/>
      <c r="G241" s="201"/>
      <c r="H241" s="214"/>
      <c r="I241" s="214"/>
      <c r="J241" s="214"/>
      <c r="K241" s="214"/>
      <c r="L241" s="214"/>
    </row>
    <row r="242" ht="13.5" customHeight="1" spans="1:12" x14ac:dyDescent="0.25">
      <c r="A242" s="211"/>
      <c r="B242" s="212"/>
      <c r="C242" s="213"/>
      <c r="D242" s="211"/>
      <c r="E242" s="214"/>
      <c r="F242" s="204"/>
      <c r="G242" s="201"/>
      <c r="H242" s="214"/>
      <c r="I242" s="214"/>
      <c r="J242" s="214"/>
      <c r="K242" s="214"/>
      <c r="L242" s="214"/>
    </row>
    <row r="243" ht="13.5" customHeight="1" spans="1:12" x14ac:dyDescent="0.25">
      <c r="A243" s="211"/>
      <c r="B243" s="212"/>
      <c r="C243" s="213"/>
      <c r="D243" s="211"/>
      <c r="E243" s="214"/>
      <c r="F243" s="204"/>
      <c r="G243" s="201"/>
      <c r="H243" s="214"/>
      <c r="I243" s="214"/>
      <c r="J243" s="214"/>
      <c r="K243" s="214"/>
      <c r="L243" s="214"/>
    </row>
    <row r="244" ht="13.5" customHeight="1" spans="1:12" x14ac:dyDescent="0.25">
      <c r="A244" s="211"/>
      <c r="B244" s="212"/>
      <c r="C244" s="213"/>
      <c r="D244" s="211"/>
      <c r="E244" s="214"/>
      <c r="F244" s="204"/>
      <c r="G244" s="201"/>
      <c r="H244" s="214"/>
      <c r="I244" s="214"/>
      <c r="J244" s="214"/>
      <c r="K244" s="214"/>
      <c r="L244" s="214"/>
    </row>
    <row r="245" ht="13.5" customHeight="1" spans="1:12" x14ac:dyDescent="0.25">
      <c r="A245" s="211"/>
      <c r="B245" s="212"/>
      <c r="C245" s="213"/>
      <c r="D245" s="211"/>
      <c r="E245" s="214"/>
      <c r="F245" s="204"/>
      <c r="G245" s="201"/>
      <c r="H245" s="214"/>
      <c r="I245" s="214"/>
      <c r="J245" s="214"/>
      <c r="K245" s="214"/>
      <c r="L245" s="214"/>
    </row>
    <row r="246" ht="13.5" customHeight="1" spans="1:12" x14ac:dyDescent="0.25">
      <c r="A246" s="211"/>
      <c r="B246" s="212"/>
      <c r="C246" s="213"/>
      <c r="D246" s="211"/>
      <c r="E246" s="214"/>
      <c r="F246" s="204"/>
      <c r="G246" s="201"/>
      <c r="H246" s="214"/>
      <c r="I246" s="214"/>
      <c r="J246" s="214"/>
      <c r="K246" s="214"/>
      <c r="L246" s="214"/>
    </row>
    <row r="247" ht="13.5" customHeight="1" spans="1:12" x14ac:dyDescent="0.25">
      <c r="A247" s="211"/>
      <c r="B247" s="212"/>
      <c r="C247" s="213"/>
      <c r="D247" s="211"/>
      <c r="E247" s="214"/>
      <c r="F247" s="204"/>
      <c r="G247" s="201"/>
      <c r="H247" s="214"/>
      <c r="I247" s="214"/>
      <c r="J247" s="214"/>
      <c r="K247" s="214"/>
      <c r="L247" s="214"/>
    </row>
    <row r="248" ht="13.5" customHeight="1" spans="1:12" x14ac:dyDescent="0.25">
      <c r="A248" s="211"/>
      <c r="B248" s="212"/>
      <c r="C248" s="213"/>
      <c r="D248" s="211"/>
      <c r="E248" s="214"/>
      <c r="F248" s="204"/>
      <c r="G248" s="201"/>
      <c r="H248" s="214"/>
      <c r="I248" s="214"/>
      <c r="J248" s="214"/>
      <c r="K248" s="214"/>
      <c r="L248" s="214"/>
    </row>
    <row r="249" ht="13.5" customHeight="1" spans="1:12" x14ac:dyDescent="0.25">
      <c r="A249" s="211"/>
      <c r="B249" s="212"/>
      <c r="C249" s="213"/>
      <c r="D249" s="211"/>
      <c r="E249" s="214"/>
      <c r="F249" s="204"/>
      <c r="G249" s="201"/>
      <c r="H249" s="214"/>
      <c r="I249" s="214"/>
      <c r="J249" s="214"/>
      <c r="K249" s="214"/>
      <c r="L249" s="214"/>
    </row>
    <row r="250" ht="13.5" customHeight="1" spans="1:12" x14ac:dyDescent="0.25">
      <c r="A250" s="211"/>
      <c r="B250" s="212"/>
      <c r="C250" s="213"/>
      <c r="D250" s="211"/>
      <c r="E250" s="214"/>
      <c r="F250" s="204"/>
      <c r="G250" s="201"/>
      <c r="H250" s="214"/>
      <c r="I250" s="214"/>
      <c r="J250" s="214"/>
      <c r="K250" s="214"/>
      <c r="L250" s="214"/>
    </row>
    <row r="251" ht="13.5" customHeight="1" spans="1:12" x14ac:dyDescent="0.25">
      <c r="A251" s="211"/>
      <c r="B251" s="212"/>
      <c r="C251" s="213"/>
      <c r="D251" s="211"/>
      <c r="E251" s="214"/>
      <c r="F251" s="204"/>
      <c r="G251" s="201"/>
      <c r="H251" s="214"/>
      <c r="I251" s="214"/>
      <c r="J251" s="214"/>
      <c r="K251" s="214"/>
      <c r="L251" s="214"/>
    </row>
    <row r="252" ht="13.5" customHeight="1" spans="1:12" x14ac:dyDescent="0.25">
      <c r="A252" s="211"/>
      <c r="B252" s="212"/>
      <c r="C252" s="213"/>
      <c r="D252" s="211"/>
      <c r="E252" s="214"/>
      <c r="F252" s="204"/>
      <c r="G252" s="201"/>
      <c r="H252" s="214"/>
      <c r="I252" s="214"/>
      <c r="J252" s="214"/>
      <c r="K252" s="214"/>
      <c r="L252" s="214"/>
    </row>
    <row r="253" ht="13.5" customHeight="1" spans="1:12" x14ac:dyDescent="0.25">
      <c r="A253" s="211"/>
      <c r="B253" s="212"/>
      <c r="C253" s="213"/>
      <c r="D253" s="211"/>
      <c r="E253" s="214"/>
      <c r="F253" s="204"/>
      <c r="G253" s="201"/>
      <c r="H253" s="214"/>
      <c r="I253" s="214"/>
      <c r="J253" s="214"/>
      <c r="K253" s="214"/>
      <c r="L253" s="214"/>
    </row>
    <row r="254" ht="13.5" customHeight="1" spans="1:12" x14ac:dyDescent="0.25">
      <c r="A254" s="211"/>
      <c r="B254" s="212"/>
      <c r="C254" s="213"/>
      <c r="D254" s="211"/>
      <c r="E254" s="214"/>
      <c r="F254" s="204"/>
      <c r="G254" s="201"/>
      <c r="H254" s="214"/>
      <c r="I254" s="214"/>
      <c r="J254" s="214"/>
      <c r="K254" s="214"/>
      <c r="L254" s="214"/>
    </row>
    <row r="255" ht="13.5" customHeight="1" spans="1:12" x14ac:dyDescent="0.25">
      <c r="A255" s="211"/>
      <c r="B255" s="212"/>
      <c r="C255" s="213"/>
      <c r="D255" s="211"/>
      <c r="E255" s="214"/>
      <c r="F255" s="204"/>
      <c r="G255" s="201"/>
      <c r="H255" s="214"/>
      <c r="I255" s="214"/>
      <c r="J255" s="214"/>
      <c r="K255" s="214"/>
      <c r="L255" s="214"/>
    </row>
    <row r="256" ht="13.5" customHeight="1" spans="1:12" x14ac:dyDescent="0.25">
      <c r="A256" s="211"/>
      <c r="B256" s="212"/>
      <c r="C256" s="213"/>
      <c r="D256" s="211"/>
      <c r="E256" s="214"/>
      <c r="F256" s="204"/>
      <c r="G256" s="201"/>
      <c r="H256" s="214"/>
      <c r="I256" s="214"/>
      <c r="J256" s="214"/>
      <c r="K256" s="214"/>
      <c r="L256" s="214"/>
    </row>
    <row r="257" ht="13.5" customHeight="1" spans="1:12" x14ac:dyDescent="0.25">
      <c r="A257" s="211"/>
      <c r="B257" s="212"/>
      <c r="C257" s="213"/>
      <c r="D257" s="211"/>
      <c r="E257" s="214"/>
      <c r="F257" s="204"/>
      <c r="G257" s="201"/>
      <c r="H257" s="214"/>
      <c r="I257" s="214"/>
      <c r="J257" s="214"/>
      <c r="K257" s="214"/>
      <c r="L257" s="214"/>
    </row>
    <row r="258" ht="13.5" customHeight="1" spans="1:12" x14ac:dyDescent="0.25">
      <c r="A258" s="211"/>
      <c r="B258" s="212"/>
      <c r="C258" s="213"/>
      <c r="D258" s="211"/>
      <c r="E258" s="214"/>
      <c r="F258" s="204"/>
      <c r="G258" s="201"/>
      <c r="H258" s="214"/>
      <c r="I258" s="214"/>
      <c r="J258" s="214"/>
      <c r="K258" s="214"/>
      <c r="L258" s="214"/>
    </row>
    <row r="259" ht="13.5" customHeight="1" spans="1:12" x14ac:dyDescent="0.25">
      <c r="A259" s="211"/>
      <c r="B259" s="212"/>
      <c r="C259" s="213"/>
      <c r="D259" s="211"/>
      <c r="E259" s="214"/>
      <c r="F259" s="204"/>
      <c r="G259" s="201"/>
      <c r="H259" s="214"/>
      <c r="I259" s="214"/>
      <c r="J259" s="214"/>
      <c r="K259" s="214"/>
      <c r="L259" s="214"/>
    </row>
    <row r="260" ht="13.5" customHeight="1" spans="1:12" x14ac:dyDescent="0.25">
      <c r="A260" s="211"/>
      <c r="B260" s="212"/>
      <c r="C260" s="213"/>
      <c r="D260" s="211"/>
      <c r="E260" s="214"/>
      <c r="F260" s="204"/>
      <c r="G260" s="201"/>
      <c r="H260" s="214"/>
      <c r="I260" s="214"/>
      <c r="J260" s="214"/>
      <c r="K260" s="214"/>
      <c r="L260" s="214"/>
    </row>
    <row r="261" ht="13.5" customHeight="1" spans="1:12" x14ac:dyDescent="0.25">
      <c r="A261" s="211"/>
      <c r="B261" s="212"/>
      <c r="C261" s="213"/>
      <c r="D261" s="211"/>
      <c r="E261" s="214"/>
      <c r="F261" s="204"/>
      <c r="G261" s="201"/>
      <c r="H261" s="214"/>
      <c r="I261" s="214"/>
      <c r="J261" s="214"/>
      <c r="K261" s="214"/>
      <c r="L261" s="214"/>
    </row>
    <row r="262" ht="13.5" customHeight="1" spans="1:12" x14ac:dyDescent="0.25">
      <c r="A262" s="211"/>
      <c r="B262" s="212"/>
      <c r="C262" s="213"/>
      <c r="D262" s="211"/>
      <c r="E262" s="214"/>
      <c r="F262" s="204"/>
      <c r="G262" s="201"/>
      <c r="H262" s="214"/>
      <c r="I262" s="214"/>
      <c r="J262" s="214"/>
      <c r="K262" s="214"/>
      <c r="L262" s="214"/>
    </row>
    <row r="263" ht="13.5" customHeight="1" spans="1:12" x14ac:dyDescent="0.25">
      <c r="A263" s="211"/>
      <c r="B263" s="212"/>
      <c r="C263" s="213"/>
      <c r="D263" s="211"/>
      <c r="E263" s="214"/>
      <c r="F263" s="204"/>
      <c r="G263" s="201"/>
      <c r="H263" s="214"/>
      <c r="I263" s="214"/>
      <c r="J263" s="214"/>
      <c r="K263" s="214"/>
      <c r="L263" s="214"/>
    </row>
    <row r="264" ht="13.5" customHeight="1" spans="1:12" x14ac:dyDescent="0.25">
      <c r="A264" s="211"/>
      <c r="B264" s="212"/>
      <c r="C264" s="213"/>
      <c r="D264" s="211"/>
      <c r="E264" s="214"/>
      <c r="F264" s="204"/>
      <c r="G264" s="201"/>
      <c r="H264" s="214"/>
      <c r="I264" s="214"/>
      <c r="J264" s="214"/>
      <c r="K264" s="214"/>
      <c r="L264" s="214"/>
    </row>
    <row r="265" ht="13.5" customHeight="1" spans="1:12" x14ac:dyDescent="0.25">
      <c r="A265" s="211"/>
      <c r="B265" s="212"/>
      <c r="C265" s="213"/>
      <c r="D265" s="211"/>
      <c r="E265" s="214"/>
      <c r="F265" s="204"/>
      <c r="G265" s="201"/>
      <c r="H265" s="214"/>
      <c r="I265" s="214"/>
      <c r="J265" s="214"/>
      <c r="K265" s="214"/>
      <c r="L265" s="214"/>
    </row>
    <row r="266" ht="13.5" customHeight="1" spans="1:12" x14ac:dyDescent="0.25">
      <c r="A266" s="211"/>
      <c r="B266" s="212"/>
      <c r="C266" s="213"/>
      <c r="D266" s="211"/>
      <c r="E266" s="214"/>
      <c r="F266" s="204"/>
      <c r="G266" s="201"/>
      <c r="H266" s="214"/>
      <c r="I266" s="214"/>
      <c r="J266" s="214"/>
      <c r="K266" s="214"/>
      <c r="L266" s="214"/>
    </row>
    <row r="267" ht="13.5" customHeight="1" spans="1:12" x14ac:dyDescent="0.25">
      <c r="A267" s="211"/>
      <c r="B267" s="212"/>
      <c r="C267" s="213"/>
      <c r="D267" s="211"/>
      <c r="E267" s="214"/>
      <c r="F267" s="204"/>
      <c r="G267" s="201"/>
      <c r="H267" s="214"/>
      <c r="I267" s="214"/>
      <c r="J267" s="214"/>
      <c r="K267" s="214"/>
      <c r="L267" s="214"/>
    </row>
    <row r="268" ht="13.5" customHeight="1" spans="1:12" x14ac:dyDescent="0.25">
      <c r="A268" s="211"/>
      <c r="B268" s="212"/>
      <c r="C268" s="213"/>
      <c r="D268" s="211"/>
      <c r="E268" s="214"/>
      <c r="F268" s="204"/>
      <c r="G268" s="201"/>
      <c r="H268" s="214"/>
      <c r="I268" s="214"/>
      <c r="J268" s="214"/>
      <c r="K268" s="214"/>
      <c r="L268" s="214"/>
    </row>
    <row r="269" ht="13.5" customHeight="1" spans="1:12" x14ac:dyDescent="0.25">
      <c r="A269" s="211"/>
      <c r="B269" s="212"/>
      <c r="C269" s="213"/>
      <c r="D269" s="211"/>
      <c r="E269" s="214"/>
      <c r="F269" s="204"/>
      <c r="G269" s="201"/>
      <c r="H269" s="214"/>
      <c r="I269" s="214"/>
      <c r="J269" s="214"/>
      <c r="K269" s="214"/>
      <c r="L269" s="214"/>
    </row>
    <row r="270" ht="13.5" customHeight="1" spans="1:12" x14ac:dyDescent="0.25">
      <c r="A270" s="211"/>
      <c r="B270" s="212"/>
      <c r="C270" s="213"/>
      <c r="D270" s="211"/>
      <c r="E270" s="214"/>
      <c r="F270" s="204"/>
      <c r="G270" s="201"/>
      <c r="H270" s="214"/>
      <c r="I270" s="214"/>
      <c r="J270" s="214"/>
      <c r="K270" s="214"/>
      <c r="L270" s="214"/>
    </row>
    <row r="271" ht="13.5" customHeight="1" spans="1:12" x14ac:dyDescent="0.25">
      <c r="A271" s="211"/>
      <c r="B271" s="212"/>
      <c r="C271" s="213"/>
      <c r="D271" s="211"/>
      <c r="E271" s="214"/>
      <c r="F271" s="204"/>
      <c r="G271" s="201"/>
      <c r="H271" s="214"/>
      <c r="I271" s="214"/>
      <c r="J271" s="214"/>
      <c r="K271" s="214"/>
      <c r="L271" s="214"/>
    </row>
    <row r="272" ht="13.5" customHeight="1" spans="1:12" x14ac:dyDescent="0.25">
      <c r="A272" s="211"/>
      <c r="B272" s="212"/>
      <c r="C272" s="213"/>
      <c r="D272" s="211"/>
      <c r="E272" s="214"/>
      <c r="F272" s="204"/>
      <c r="G272" s="201"/>
      <c r="H272" s="214"/>
      <c r="I272" s="214"/>
      <c r="J272" s="214"/>
      <c r="K272" s="214"/>
      <c r="L272" s="214"/>
    </row>
    <row r="273" ht="13.5" customHeight="1" spans="1:12" x14ac:dyDescent="0.25">
      <c r="A273" s="211"/>
      <c r="B273" s="212"/>
      <c r="C273" s="213"/>
      <c r="D273" s="211"/>
      <c r="E273" s="214"/>
      <c r="F273" s="204"/>
      <c r="G273" s="201"/>
      <c r="H273" s="214"/>
      <c r="I273" s="214"/>
      <c r="J273" s="214"/>
      <c r="K273" s="214"/>
      <c r="L273" s="214"/>
    </row>
    <row r="274" ht="13.5" customHeight="1" spans="1:12" x14ac:dyDescent="0.25">
      <c r="A274" s="211"/>
      <c r="B274" s="212"/>
      <c r="C274" s="213"/>
      <c r="D274" s="211"/>
      <c r="E274" s="214"/>
      <c r="F274" s="204"/>
      <c r="G274" s="201"/>
      <c r="H274" s="214"/>
      <c r="I274" s="214"/>
      <c r="J274" s="214"/>
      <c r="K274" s="214"/>
      <c r="L274" s="214"/>
    </row>
    <row r="275" ht="13.5" customHeight="1" spans="1:12" x14ac:dyDescent="0.25">
      <c r="A275" s="211"/>
      <c r="B275" s="212"/>
      <c r="C275" s="213"/>
      <c r="D275" s="211"/>
      <c r="E275" s="214"/>
      <c r="F275" s="204"/>
      <c r="G275" s="201"/>
      <c r="H275" s="214"/>
      <c r="I275" s="214"/>
      <c r="J275" s="214"/>
      <c r="K275" s="214"/>
      <c r="L275" s="214"/>
    </row>
    <row r="276" ht="13.5" customHeight="1" spans="1:12" x14ac:dyDescent="0.25">
      <c r="A276" s="211"/>
      <c r="B276" s="212"/>
      <c r="C276" s="213"/>
      <c r="D276" s="211"/>
      <c r="E276" s="214"/>
      <c r="F276" s="204"/>
      <c r="G276" s="201"/>
      <c r="H276" s="214"/>
      <c r="I276" s="214"/>
      <c r="J276" s="214"/>
      <c r="K276" s="214"/>
      <c r="L276" s="214"/>
    </row>
    <row r="277" ht="13.5" customHeight="1" spans="1:12" x14ac:dyDescent="0.25">
      <c r="A277" s="211"/>
      <c r="B277" s="212"/>
      <c r="C277" s="213"/>
      <c r="D277" s="211"/>
      <c r="E277" s="214"/>
      <c r="F277" s="204"/>
      <c r="G277" s="201"/>
      <c r="H277" s="214"/>
      <c r="I277" s="214"/>
      <c r="J277" s="214"/>
      <c r="K277" s="214"/>
      <c r="L277" s="214"/>
    </row>
    <row r="278" ht="13.5" customHeight="1" spans="1:12" x14ac:dyDescent="0.25">
      <c r="A278" s="211"/>
      <c r="B278" s="212"/>
      <c r="C278" s="213"/>
      <c r="D278" s="211"/>
      <c r="E278" s="214"/>
      <c r="F278" s="204"/>
      <c r="G278" s="201"/>
      <c r="H278" s="214"/>
      <c r="I278" s="214"/>
      <c r="J278" s="214"/>
      <c r="K278" s="214"/>
      <c r="L278" s="214"/>
    </row>
    <row r="279" ht="13.5" customHeight="1" spans="1:12" x14ac:dyDescent="0.25">
      <c r="A279" s="211"/>
      <c r="B279" s="212"/>
      <c r="C279" s="213"/>
      <c r="D279" s="211"/>
      <c r="E279" s="214"/>
      <c r="F279" s="204"/>
      <c r="G279" s="201"/>
      <c r="H279" s="214"/>
      <c r="I279" s="214"/>
      <c r="J279" s="214"/>
      <c r="K279" s="214"/>
      <c r="L279" s="214"/>
    </row>
    <row r="280" ht="13.5" customHeight="1" spans="1:12" x14ac:dyDescent="0.25">
      <c r="A280" s="211"/>
      <c r="B280" s="212"/>
      <c r="C280" s="213"/>
      <c r="D280" s="211"/>
      <c r="E280" s="214"/>
      <c r="F280" s="204"/>
      <c r="G280" s="201"/>
      <c r="H280" s="214"/>
      <c r="I280" s="214"/>
      <c r="J280" s="214"/>
      <c r="K280" s="214"/>
      <c r="L280" s="214"/>
    </row>
    <row r="281" ht="13.5" customHeight="1" spans="1:12" x14ac:dyDescent="0.25">
      <c r="A281" s="211"/>
      <c r="B281" s="212"/>
      <c r="C281" s="213"/>
      <c r="D281" s="211"/>
      <c r="E281" s="214"/>
      <c r="F281" s="204"/>
      <c r="G281" s="201"/>
      <c r="H281" s="214"/>
      <c r="I281" s="214"/>
      <c r="J281" s="214"/>
      <c r="K281" s="214"/>
      <c r="L281" s="214"/>
    </row>
    <row r="282" ht="13.5" customHeight="1" spans="1:12" x14ac:dyDescent="0.25">
      <c r="A282" s="211"/>
      <c r="B282" s="212"/>
      <c r="C282" s="213"/>
      <c r="D282" s="211"/>
      <c r="E282" s="214"/>
      <c r="F282" s="204"/>
      <c r="G282" s="201"/>
      <c r="H282" s="214"/>
      <c r="I282" s="214"/>
      <c r="J282" s="214"/>
      <c r="K282" s="214"/>
      <c r="L282" s="214"/>
    </row>
    <row r="283" ht="13.5" customHeight="1" spans="1:12" x14ac:dyDescent="0.25">
      <c r="A283" s="211"/>
      <c r="B283" s="212"/>
      <c r="C283" s="213"/>
      <c r="D283" s="211"/>
      <c r="E283" s="214"/>
      <c r="F283" s="204"/>
      <c r="G283" s="201"/>
      <c r="H283" s="214"/>
      <c r="I283" s="214"/>
      <c r="J283" s="214"/>
      <c r="K283" s="214"/>
      <c r="L283" s="214"/>
    </row>
    <row r="284" ht="13.5" customHeight="1" spans="1:12" x14ac:dyDescent="0.25">
      <c r="A284" s="211"/>
      <c r="B284" s="212"/>
      <c r="C284" s="213"/>
      <c r="D284" s="211"/>
      <c r="E284" s="214"/>
      <c r="F284" s="204"/>
      <c r="G284" s="201"/>
      <c r="H284" s="214"/>
      <c r="I284" s="214"/>
      <c r="J284" s="214"/>
      <c r="K284" s="214"/>
      <c r="L284" s="214"/>
    </row>
    <row r="285" ht="13.5" customHeight="1" spans="1:12" x14ac:dyDescent="0.25">
      <c r="A285" s="211"/>
      <c r="B285" s="212"/>
      <c r="C285" s="213"/>
      <c r="D285" s="211"/>
      <c r="E285" s="214"/>
      <c r="F285" s="204"/>
      <c r="G285" s="201"/>
      <c r="H285" s="214"/>
      <c r="I285" s="214"/>
      <c r="J285" s="214"/>
      <c r="K285" s="214"/>
      <c r="L285" s="214"/>
    </row>
    <row r="286" ht="13.5" customHeight="1" spans="1:12" x14ac:dyDescent="0.25">
      <c r="A286" s="211"/>
      <c r="B286" s="212"/>
      <c r="C286" s="213"/>
      <c r="D286" s="211"/>
      <c r="E286" s="214"/>
      <c r="F286" s="204"/>
      <c r="G286" s="201"/>
      <c r="H286" s="214"/>
      <c r="I286" s="214"/>
      <c r="J286" s="214"/>
      <c r="K286" s="214"/>
      <c r="L286" s="214"/>
    </row>
    <row r="287" ht="13.5" customHeight="1" spans="1:12" x14ac:dyDescent="0.25">
      <c r="A287" s="211"/>
      <c r="B287" s="212"/>
      <c r="C287" s="213"/>
      <c r="D287" s="211"/>
      <c r="E287" s="214"/>
      <c r="F287" s="204"/>
      <c r="G287" s="201"/>
      <c r="H287" s="214"/>
      <c r="I287" s="214"/>
      <c r="J287" s="214"/>
      <c r="K287" s="214"/>
      <c r="L287" s="214"/>
    </row>
    <row r="288" ht="13.5" customHeight="1" spans="1:12" x14ac:dyDescent="0.25">
      <c r="A288" s="211"/>
      <c r="B288" s="212"/>
      <c r="C288" s="213"/>
      <c r="D288" s="211"/>
      <c r="E288" s="214"/>
      <c r="F288" s="204"/>
      <c r="G288" s="201"/>
      <c r="H288" s="214"/>
      <c r="I288" s="214"/>
      <c r="J288" s="214"/>
      <c r="K288" s="214"/>
      <c r="L288" s="214"/>
    </row>
    <row r="289" ht="13.5" customHeight="1" spans="1:12" x14ac:dyDescent="0.25">
      <c r="A289" s="211"/>
      <c r="B289" s="212"/>
      <c r="C289" s="213"/>
      <c r="D289" s="211"/>
      <c r="E289" s="214"/>
      <c r="F289" s="204"/>
      <c r="G289" s="201"/>
      <c r="H289" s="214"/>
      <c r="I289" s="214"/>
      <c r="J289" s="214"/>
      <c r="K289" s="214"/>
      <c r="L289" s="214"/>
    </row>
    <row r="290" ht="13.5" customHeight="1" spans="1:12" x14ac:dyDescent="0.25">
      <c r="A290" s="211"/>
      <c r="B290" s="212"/>
      <c r="C290" s="213"/>
      <c r="D290" s="211"/>
      <c r="E290" s="214"/>
      <c r="F290" s="204"/>
      <c r="G290" s="201"/>
      <c r="H290" s="214"/>
      <c r="I290" s="214"/>
      <c r="J290" s="214"/>
      <c r="K290" s="214"/>
      <c r="L290" s="214"/>
    </row>
    <row r="291" ht="13.5" customHeight="1" spans="1:12" x14ac:dyDescent="0.25">
      <c r="A291" s="211"/>
      <c r="B291" s="212"/>
      <c r="C291" s="213"/>
      <c r="D291" s="211"/>
      <c r="E291" s="214"/>
      <c r="F291" s="204"/>
      <c r="G291" s="201"/>
      <c r="H291" s="214"/>
      <c r="I291" s="214"/>
      <c r="J291" s="214"/>
      <c r="K291" s="214"/>
      <c r="L291" s="214"/>
    </row>
    <row r="292" ht="13.5" customHeight="1" spans="1:12" x14ac:dyDescent="0.25">
      <c r="A292" s="211"/>
      <c r="B292" s="212"/>
      <c r="C292" s="213"/>
      <c r="D292" s="211"/>
      <c r="E292" s="214"/>
      <c r="F292" s="204"/>
      <c r="G292" s="201"/>
      <c r="H292" s="214"/>
      <c r="I292" s="214"/>
      <c r="J292" s="214"/>
      <c r="K292" s="214"/>
      <c r="L292" s="214"/>
    </row>
    <row r="293" ht="13.5" customHeight="1" spans="1:12" x14ac:dyDescent="0.25">
      <c r="A293" s="211"/>
      <c r="B293" s="212"/>
      <c r="C293" s="213"/>
      <c r="D293" s="211"/>
      <c r="E293" s="214"/>
      <c r="F293" s="204"/>
      <c r="G293" s="201"/>
      <c r="H293" s="214"/>
      <c r="I293" s="214"/>
      <c r="J293" s="214"/>
      <c r="K293" s="214"/>
      <c r="L293" s="214"/>
    </row>
    <row r="294" ht="13.5" customHeight="1" spans="1:12" x14ac:dyDescent="0.25">
      <c r="A294" s="211"/>
      <c r="B294" s="212"/>
      <c r="C294" s="213"/>
      <c r="D294" s="211"/>
      <c r="E294" s="214"/>
      <c r="F294" s="204"/>
      <c r="G294" s="201"/>
      <c r="H294" s="214"/>
      <c r="I294" s="214"/>
      <c r="J294" s="214"/>
      <c r="K294" s="214"/>
      <c r="L294" s="214"/>
    </row>
    <row r="295" ht="13.5" customHeight="1" spans="1:12" x14ac:dyDescent="0.25">
      <c r="A295" s="211"/>
      <c r="B295" s="212"/>
      <c r="C295" s="213"/>
      <c r="D295" s="211"/>
      <c r="E295" s="214"/>
      <c r="F295" s="204"/>
      <c r="G295" s="201"/>
      <c r="H295" s="214"/>
      <c r="I295" s="214"/>
      <c r="J295" s="214"/>
      <c r="K295" s="214"/>
      <c r="L295" s="214"/>
    </row>
    <row r="296" ht="13.5" customHeight="1" spans="1:12" x14ac:dyDescent="0.25">
      <c r="A296" s="211"/>
      <c r="B296" s="212"/>
      <c r="C296" s="213"/>
      <c r="D296" s="211"/>
      <c r="E296" s="214"/>
      <c r="F296" s="204"/>
      <c r="G296" s="201"/>
      <c r="H296" s="214"/>
      <c r="I296" s="214"/>
      <c r="J296" s="214"/>
      <c r="K296" s="214"/>
      <c r="L296" s="214"/>
    </row>
    <row r="297" ht="13.5" customHeight="1" spans="1:12" x14ac:dyDescent="0.25">
      <c r="A297" s="211"/>
      <c r="B297" s="212"/>
      <c r="C297" s="213"/>
      <c r="D297" s="211"/>
      <c r="E297" s="214"/>
      <c r="F297" s="204"/>
      <c r="G297" s="201"/>
      <c r="H297" s="214"/>
      <c r="I297" s="214"/>
      <c r="J297" s="214"/>
      <c r="K297" s="214"/>
      <c r="L297" s="214"/>
    </row>
    <row r="298" ht="13.5" customHeight="1" spans="1:12" x14ac:dyDescent="0.25">
      <c r="A298" s="211"/>
      <c r="B298" s="212"/>
      <c r="C298" s="213"/>
      <c r="D298" s="211"/>
      <c r="E298" s="214"/>
      <c r="F298" s="204"/>
      <c r="G298" s="201"/>
      <c r="H298" s="214"/>
      <c r="I298" s="214"/>
      <c r="J298" s="214"/>
      <c r="K298" s="214"/>
      <c r="L298" s="214"/>
    </row>
    <row r="299" ht="13.5" customHeight="1" spans="1:12" x14ac:dyDescent="0.25">
      <c r="A299" s="211"/>
      <c r="B299" s="212"/>
      <c r="C299" s="213"/>
      <c r="D299" s="211"/>
      <c r="E299" s="214"/>
      <c r="F299" s="204"/>
      <c r="G299" s="201"/>
      <c r="H299" s="214"/>
      <c r="I299" s="214"/>
      <c r="J299" s="214"/>
      <c r="K299" s="214"/>
      <c r="L299" s="214"/>
    </row>
    <row r="300" ht="13.5" customHeight="1" spans="1:12" x14ac:dyDescent="0.25">
      <c r="A300" s="211"/>
      <c r="B300" s="212"/>
      <c r="C300" s="213"/>
      <c r="D300" s="211"/>
      <c r="E300" s="214"/>
      <c r="F300" s="204"/>
      <c r="G300" s="201"/>
      <c r="H300" s="214"/>
      <c r="I300" s="214"/>
      <c r="J300" s="214"/>
      <c r="K300" s="214"/>
      <c r="L300" s="214"/>
    </row>
    <row r="301" ht="13.5" customHeight="1" spans="1:12" x14ac:dyDescent="0.25">
      <c r="A301" s="211"/>
      <c r="B301" s="212"/>
      <c r="C301" s="213"/>
      <c r="D301" s="211"/>
      <c r="E301" s="214"/>
      <c r="F301" s="204"/>
      <c r="G301" s="201"/>
      <c r="H301" s="214"/>
      <c r="I301" s="214"/>
      <c r="J301" s="214"/>
      <c r="K301" s="214"/>
      <c r="L301" s="214"/>
    </row>
    <row r="302" ht="13.5" customHeight="1" spans="1:12" x14ac:dyDescent="0.25">
      <c r="A302" s="211"/>
      <c r="B302" s="212"/>
      <c r="C302" s="213"/>
      <c r="D302" s="211"/>
      <c r="E302" s="214"/>
      <c r="F302" s="204"/>
      <c r="G302" s="201"/>
      <c r="H302" s="214"/>
      <c r="I302" s="214"/>
      <c r="J302" s="214"/>
      <c r="K302" s="214"/>
      <c r="L302" s="214"/>
    </row>
    <row r="303" ht="13.5" customHeight="1" spans="1:12" x14ac:dyDescent="0.25">
      <c r="A303" s="211"/>
      <c r="B303" s="212"/>
      <c r="C303" s="213"/>
      <c r="D303" s="211"/>
      <c r="E303" s="214"/>
      <c r="F303" s="204"/>
      <c r="G303" s="201"/>
      <c r="H303" s="214"/>
      <c r="I303" s="214"/>
      <c r="J303" s="214"/>
      <c r="K303" s="214"/>
      <c r="L303" s="214"/>
    </row>
    <row r="304" ht="13.5" customHeight="1" spans="1:12" x14ac:dyDescent="0.25">
      <c r="A304" s="211"/>
      <c r="B304" s="212"/>
      <c r="C304" s="213"/>
      <c r="D304" s="211"/>
      <c r="E304" s="214"/>
      <c r="F304" s="204"/>
      <c r="G304" s="201"/>
      <c r="H304" s="214"/>
      <c r="I304" s="214"/>
      <c r="J304" s="214"/>
      <c r="K304" s="214"/>
      <c r="L304" s="214"/>
    </row>
    <row r="305" ht="13.5" customHeight="1" spans="1:12" x14ac:dyDescent="0.25">
      <c r="A305" s="211"/>
      <c r="B305" s="212"/>
      <c r="C305" s="213"/>
      <c r="D305" s="211"/>
      <c r="E305" s="214"/>
      <c r="F305" s="204"/>
      <c r="G305" s="201"/>
      <c r="H305" s="214"/>
      <c r="I305" s="214"/>
      <c r="J305" s="214"/>
      <c r="K305" s="214"/>
      <c r="L305" s="214"/>
    </row>
    <row r="306" ht="13.5" customHeight="1" spans="1:12" x14ac:dyDescent="0.25">
      <c r="A306" s="211"/>
      <c r="B306" s="212"/>
      <c r="C306" s="213"/>
      <c r="D306" s="211"/>
      <c r="E306" s="214"/>
      <c r="F306" s="204"/>
      <c r="G306" s="201"/>
      <c r="H306" s="214"/>
      <c r="I306" s="214"/>
      <c r="J306" s="214"/>
      <c r="K306" s="214"/>
      <c r="L306" s="214"/>
    </row>
    <row r="307" ht="13.5" customHeight="1" spans="1:12" x14ac:dyDescent="0.25">
      <c r="A307" s="211"/>
      <c r="B307" s="212"/>
      <c r="C307" s="213"/>
      <c r="D307" s="211"/>
      <c r="E307" s="214"/>
      <c r="F307" s="204"/>
      <c r="G307" s="201"/>
      <c r="H307" s="214"/>
      <c r="I307" s="214"/>
      <c r="J307" s="214"/>
      <c r="K307" s="214"/>
      <c r="L307" s="214"/>
    </row>
    <row r="308" ht="13.5" customHeight="1" spans="1:12" x14ac:dyDescent="0.25">
      <c r="A308" s="211"/>
      <c r="B308" s="212"/>
      <c r="C308" s="213"/>
      <c r="D308" s="211"/>
      <c r="E308" s="214"/>
      <c r="F308" s="204"/>
      <c r="G308" s="201"/>
      <c r="H308" s="214"/>
      <c r="I308" s="214"/>
      <c r="J308" s="214"/>
      <c r="K308" s="214"/>
      <c r="L308" s="214"/>
    </row>
    <row r="309" ht="13.5" customHeight="1" spans="1:12" x14ac:dyDescent="0.25">
      <c r="A309" s="211"/>
      <c r="B309" s="212"/>
      <c r="C309" s="213"/>
      <c r="D309" s="211"/>
      <c r="E309" s="214"/>
      <c r="F309" s="204"/>
      <c r="G309" s="201"/>
      <c r="H309" s="214"/>
      <c r="I309" s="214"/>
      <c r="J309" s="214"/>
      <c r="K309" s="214"/>
      <c r="L309" s="214"/>
    </row>
    <row r="310" ht="13.5" customHeight="1" spans="1:12" x14ac:dyDescent="0.25">
      <c r="A310" s="211"/>
      <c r="B310" s="212"/>
      <c r="C310" s="213"/>
      <c r="D310" s="211"/>
      <c r="E310" s="214"/>
      <c r="F310" s="204"/>
      <c r="G310" s="201"/>
      <c r="H310" s="214"/>
      <c r="I310" s="214"/>
      <c r="J310" s="214"/>
      <c r="K310" s="214"/>
      <c r="L310" s="214"/>
    </row>
    <row r="311" ht="13.5" customHeight="1" spans="1:12" x14ac:dyDescent="0.25">
      <c r="A311" s="211"/>
      <c r="B311" s="212"/>
      <c r="C311" s="213"/>
      <c r="D311" s="211"/>
      <c r="E311" s="214"/>
      <c r="F311" s="204"/>
      <c r="G311" s="201"/>
      <c r="H311" s="214"/>
      <c r="I311" s="214"/>
      <c r="J311" s="214"/>
      <c r="K311" s="214"/>
      <c r="L311" s="214"/>
    </row>
    <row r="312" ht="13.5" customHeight="1" spans="1:12" x14ac:dyDescent="0.25">
      <c r="A312" s="211"/>
      <c r="B312" s="212"/>
      <c r="C312" s="213"/>
      <c r="D312" s="211"/>
      <c r="E312" s="214"/>
      <c r="F312" s="204"/>
      <c r="G312" s="201"/>
      <c r="H312" s="214"/>
      <c r="I312" s="214"/>
      <c r="J312" s="214"/>
      <c r="K312" s="214"/>
      <c r="L312" s="214"/>
    </row>
    <row r="313" ht="13.5" customHeight="1" spans="1:12" x14ac:dyDescent="0.25">
      <c r="A313" s="211"/>
      <c r="B313" s="212"/>
      <c r="C313" s="213"/>
      <c r="D313" s="211"/>
      <c r="E313" s="214"/>
      <c r="F313" s="204"/>
      <c r="G313" s="201"/>
      <c r="H313" s="214"/>
      <c r="I313" s="214"/>
      <c r="J313" s="214"/>
      <c r="K313" s="214"/>
      <c r="L313" s="214"/>
    </row>
    <row r="314" ht="13.5" customHeight="1" spans="1:12" x14ac:dyDescent="0.25">
      <c r="A314" s="211"/>
      <c r="B314" s="212"/>
      <c r="C314" s="213"/>
      <c r="D314" s="211"/>
      <c r="E314" s="214"/>
      <c r="F314" s="204"/>
      <c r="G314" s="201"/>
      <c r="H314" s="214"/>
      <c r="I314" s="214"/>
      <c r="J314" s="214"/>
      <c r="K314" s="214"/>
      <c r="L314" s="214"/>
    </row>
    <row r="315" ht="13.5" customHeight="1" spans="1:12" x14ac:dyDescent="0.25">
      <c r="A315" s="211"/>
      <c r="B315" s="212"/>
      <c r="C315" s="213"/>
      <c r="D315" s="211"/>
      <c r="E315" s="214"/>
      <c r="F315" s="204"/>
      <c r="G315" s="201"/>
      <c r="H315" s="214"/>
      <c r="I315" s="214"/>
      <c r="J315" s="214"/>
      <c r="K315" s="214"/>
      <c r="L315" s="214"/>
    </row>
    <row r="316" ht="13.5" customHeight="1" spans="1:12" x14ac:dyDescent="0.25">
      <c r="A316" s="211"/>
      <c r="B316" s="212"/>
      <c r="C316" s="213"/>
      <c r="D316" s="211"/>
      <c r="E316" s="214"/>
      <c r="F316" s="204"/>
      <c r="G316" s="201"/>
      <c r="H316" s="214"/>
      <c r="I316" s="214"/>
      <c r="J316" s="214"/>
      <c r="K316" s="214"/>
      <c r="L316" s="214"/>
    </row>
    <row r="317" ht="13.5" customHeight="1" spans="1:12" x14ac:dyDescent="0.25">
      <c r="A317" s="211"/>
      <c r="B317" s="212"/>
      <c r="C317" s="213"/>
      <c r="D317" s="211"/>
      <c r="E317" s="214"/>
      <c r="F317" s="204"/>
      <c r="G317" s="201"/>
      <c r="H317" s="214"/>
      <c r="I317" s="214"/>
      <c r="J317" s="214"/>
      <c r="K317" s="214"/>
      <c r="L317" s="214"/>
    </row>
    <row r="318" ht="13.5" customHeight="1" spans="1:12" x14ac:dyDescent="0.25">
      <c r="A318" s="211"/>
      <c r="B318" s="212"/>
      <c r="C318" s="213"/>
      <c r="D318" s="211"/>
      <c r="E318" s="214"/>
      <c r="F318" s="204"/>
      <c r="G318" s="201"/>
      <c r="H318" s="214"/>
      <c r="I318" s="214"/>
      <c r="J318" s="214"/>
      <c r="K318" s="214"/>
      <c r="L318" s="214"/>
    </row>
    <row r="319" ht="13.5" customHeight="1" spans="1:12" x14ac:dyDescent="0.25">
      <c r="A319" s="211"/>
      <c r="B319" s="212"/>
      <c r="C319" s="213"/>
      <c r="D319" s="211"/>
      <c r="E319" s="214"/>
      <c r="F319" s="204"/>
      <c r="G319" s="201"/>
      <c r="H319" s="214"/>
      <c r="I319" s="214"/>
      <c r="J319" s="214"/>
      <c r="K319" s="214"/>
      <c r="L319" s="214"/>
    </row>
    <row r="320" ht="13.5" customHeight="1" spans="1:12" x14ac:dyDescent="0.25">
      <c r="A320" s="211"/>
      <c r="B320" s="212"/>
      <c r="C320" s="213"/>
      <c r="D320" s="211"/>
      <c r="E320" s="214"/>
      <c r="F320" s="204"/>
      <c r="G320" s="201"/>
      <c r="H320" s="214"/>
      <c r="I320" s="214"/>
      <c r="J320" s="214"/>
      <c r="K320" s="214"/>
      <c r="L320" s="214"/>
    </row>
    <row r="321" ht="13.5" customHeight="1" spans="1:12" x14ac:dyDescent="0.25">
      <c r="A321" s="211"/>
      <c r="B321" s="212"/>
      <c r="C321" s="213"/>
      <c r="D321" s="211"/>
      <c r="E321" s="214"/>
      <c r="F321" s="204"/>
      <c r="G321" s="201"/>
      <c r="H321" s="214"/>
      <c r="I321" s="214"/>
      <c r="J321" s="214"/>
      <c r="K321" s="214"/>
      <c r="L321" s="214"/>
    </row>
    <row r="322" ht="13.5" customHeight="1" spans="1:12" x14ac:dyDescent="0.25">
      <c r="A322" s="211"/>
      <c r="B322" s="212"/>
      <c r="C322" s="213"/>
      <c r="D322" s="211"/>
      <c r="E322" s="214"/>
      <c r="F322" s="204"/>
      <c r="G322" s="201"/>
      <c r="H322" s="214"/>
      <c r="I322" s="214"/>
      <c r="J322" s="214"/>
      <c r="K322" s="214"/>
      <c r="L322" s="214"/>
    </row>
    <row r="323" ht="13.5" customHeight="1" spans="1:12" x14ac:dyDescent="0.25">
      <c r="A323" s="211"/>
      <c r="B323" s="212"/>
      <c r="C323" s="213"/>
      <c r="D323" s="211"/>
      <c r="E323" s="214"/>
      <c r="F323" s="204"/>
      <c r="G323" s="201"/>
      <c r="H323" s="214"/>
      <c r="I323" s="214"/>
      <c r="J323" s="214"/>
      <c r="K323" s="214"/>
      <c r="L323" s="214"/>
    </row>
    <row r="324" ht="13.5" customHeight="1" spans="1:12" x14ac:dyDescent="0.25">
      <c r="A324" s="211"/>
      <c r="B324" s="212"/>
      <c r="C324" s="213"/>
      <c r="D324" s="211"/>
      <c r="E324" s="214"/>
      <c r="F324" s="204"/>
      <c r="G324" s="201"/>
      <c r="H324" s="214"/>
      <c r="I324" s="214"/>
      <c r="J324" s="214"/>
      <c r="K324" s="214"/>
      <c r="L324" s="214"/>
    </row>
    <row r="325" ht="13.5" customHeight="1" spans="1:12" x14ac:dyDescent="0.25">
      <c r="A325" s="211"/>
      <c r="B325" s="212"/>
      <c r="C325" s="213"/>
      <c r="D325" s="211"/>
      <c r="E325" s="214"/>
      <c r="F325" s="204"/>
      <c r="G325" s="201"/>
      <c r="H325" s="214"/>
      <c r="I325" s="214"/>
      <c r="J325" s="214"/>
      <c r="K325" s="214"/>
      <c r="L325" s="214"/>
    </row>
    <row r="326" ht="13.5" customHeight="1" spans="1:12" x14ac:dyDescent="0.25">
      <c r="A326" s="211"/>
      <c r="B326" s="212"/>
      <c r="C326" s="213"/>
      <c r="D326" s="211"/>
      <c r="E326" s="214"/>
      <c r="F326" s="204"/>
      <c r="G326" s="201"/>
      <c r="H326" s="214"/>
      <c r="I326" s="214"/>
      <c r="J326" s="214"/>
      <c r="K326" s="214"/>
      <c r="L326" s="214"/>
    </row>
    <row r="327" ht="13.5" customHeight="1" spans="1:12" x14ac:dyDescent="0.25">
      <c r="A327" s="211"/>
      <c r="B327" s="212"/>
      <c r="C327" s="213"/>
      <c r="D327" s="211"/>
      <c r="E327" s="214"/>
      <c r="F327" s="204"/>
      <c r="G327" s="201"/>
      <c r="H327" s="214"/>
      <c r="I327" s="214"/>
      <c r="J327" s="214"/>
      <c r="K327" s="214"/>
      <c r="L327" s="214"/>
    </row>
    <row r="328" ht="13.5" customHeight="1" spans="1:12" x14ac:dyDescent="0.25">
      <c r="A328" s="211"/>
      <c r="B328" s="212"/>
      <c r="C328" s="213"/>
      <c r="D328" s="211"/>
      <c r="E328" s="214"/>
      <c r="F328" s="204"/>
      <c r="G328" s="201"/>
      <c r="H328" s="214"/>
      <c r="I328" s="214"/>
      <c r="J328" s="214"/>
      <c r="K328" s="214"/>
      <c r="L328" s="214"/>
    </row>
    <row r="329" ht="13.5" customHeight="1" spans="1:12" x14ac:dyDescent="0.25">
      <c r="A329" s="211"/>
      <c r="B329" s="212"/>
      <c r="C329" s="213"/>
      <c r="D329" s="211"/>
      <c r="E329" s="214"/>
      <c r="F329" s="204"/>
      <c r="G329" s="201"/>
      <c r="H329" s="214"/>
      <c r="I329" s="214"/>
      <c r="J329" s="214"/>
      <c r="K329" s="214"/>
      <c r="L329" s="214"/>
    </row>
    <row r="330" ht="13.5" customHeight="1" spans="1:12" x14ac:dyDescent="0.25">
      <c r="A330" s="211"/>
      <c r="B330" s="212"/>
      <c r="C330" s="213"/>
      <c r="D330" s="211"/>
      <c r="E330" s="214"/>
      <c r="F330" s="204"/>
      <c r="G330" s="201"/>
      <c r="H330" s="214"/>
      <c r="I330" s="214"/>
      <c r="J330" s="214"/>
      <c r="K330" s="214"/>
      <c r="L330" s="214"/>
    </row>
    <row r="331" ht="13.5" customHeight="1" spans="1:12" x14ac:dyDescent="0.25">
      <c r="A331" s="211"/>
      <c r="B331" s="212"/>
      <c r="C331" s="213"/>
      <c r="D331" s="211"/>
      <c r="E331" s="214"/>
      <c r="F331" s="204"/>
      <c r="G331" s="201"/>
      <c r="H331" s="214"/>
      <c r="I331" s="214"/>
      <c r="J331" s="214"/>
      <c r="K331" s="214"/>
      <c r="L331" s="214"/>
    </row>
    <row r="332" ht="13.5" customHeight="1" spans="1:12" x14ac:dyDescent="0.25">
      <c r="A332" s="211"/>
      <c r="B332" s="212"/>
      <c r="C332" s="213"/>
      <c r="D332" s="211"/>
      <c r="E332" s="214"/>
      <c r="F332" s="204"/>
      <c r="G332" s="201"/>
      <c r="H332" s="214"/>
      <c r="I332" s="214"/>
      <c r="J332" s="214"/>
      <c r="K332" s="214"/>
      <c r="L332" s="214"/>
    </row>
    <row r="333" ht="13.5" customHeight="1" spans="1:12" x14ac:dyDescent="0.25">
      <c r="A333" s="211"/>
      <c r="B333" s="212"/>
      <c r="C333" s="213"/>
      <c r="D333" s="211"/>
      <c r="E333" s="214"/>
      <c r="F333" s="204"/>
      <c r="G333" s="201"/>
      <c r="H333" s="214"/>
      <c r="I333" s="214"/>
      <c r="J333" s="214"/>
      <c r="K333" s="214"/>
      <c r="L333" s="214"/>
    </row>
    <row r="334" ht="13.5" customHeight="1" spans="1:12" x14ac:dyDescent="0.25">
      <c r="A334" s="211"/>
      <c r="B334" s="212"/>
      <c r="C334" s="213"/>
      <c r="D334" s="211"/>
      <c r="E334" s="214"/>
      <c r="F334" s="204"/>
      <c r="G334" s="201"/>
      <c r="H334" s="214"/>
      <c r="I334" s="214"/>
      <c r="J334" s="214"/>
      <c r="K334" s="214"/>
      <c r="L334" s="214"/>
    </row>
    <row r="335" ht="13.5" customHeight="1" spans="1:12" x14ac:dyDescent="0.25">
      <c r="A335" s="211"/>
      <c r="B335" s="212"/>
      <c r="C335" s="213"/>
      <c r="D335" s="211"/>
      <c r="E335" s="214"/>
      <c r="F335" s="204"/>
      <c r="G335" s="201"/>
      <c r="H335" s="214"/>
      <c r="I335" s="214"/>
      <c r="J335" s="214"/>
      <c r="K335" s="214"/>
      <c r="L335" s="214"/>
    </row>
    <row r="336" ht="13.5" customHeight="1" spans="1:12" x14ac:dyDescent="0.25">
      <c r="A336" s="211"/>
      <c r="B336" s="212"/>
      <c r="C336" s="213"/>
      <c r="D336" s="211"/>
      <c r="E336" s="214"/>
      <c r="F336" s="204"/>
      <c r="G336" s="201"/>
      <c r="H336" s="214"/>
      <c r="I336" s="214"/>
      <c r="J336" s="214"/>
      <c r="K336" s="214"/>
      <c r="L336" s="214"/>
    </row>
    <row r="337" ht="13.5" customHeight="1" spans="1:12" x14ac:dyDescent="0.25">
      <c r="A337" s="211"/>
      <c r="B337" s="212"/>
      <c r="C337" s="213"/>
      <c r="D337" s="211"/>
      <c r="E337" s="214"/>
      <c r="F337" s="204"/>
      <c r="G337" s="201"/>
      <c r="H337" s="214"/>
      <c r="I337" s="214"/>
      <c r="J337" s="214"/>
      <c r="K337" s="214"/>
      <c r="L337" s="214"/>
    </row>
    <row r="338" ht="13.5" customHeight="1" spans="1:12" x14ac:dyDescent="0.25">
      <c r="A338" s="211"/>
      <c r="B338" s="212"/>
      <c r="C338" s="213"/>
      <c r="D338" s="211"/>
      <c r="E338" s="214"/>
      <c r="F338" s="204"/>
      <c r="G338" s="201"/>
      <c r="H338" s="214"/>
      <c r="I338" s="214"/>
      <c r="J338" s="214"/>
      <c r="K338" s="214"/>
      <c r="L338" s="214"/>
    </row>
    <row r="339" ht="13.5" customHeight="1" spans="1:12" x14ac:dyDescent="0.25">
      <c r="A339" s="211"/>
      <c r="B339" s="212"/>
      <c r="C339" s="213"/>
      <c r="D339" s="211"/>
      <c r="E339" s="214"/>
      <c r="F339" s="204"/>
      <c r="G339" s="201"/>
      <c r="H339" s="214"/>
      <c r="I339" s="214"/>
      <c r="J339" s="214"/>
      <c r="K339" s="214"/>
      <c r="L339" s="214"/>
    </row>
    <row r="340" ht="13.5" customHeight="1" spans="1:12" x14ac:dyDescent="0.25">
      <c r="A340" s="211"/>
      <c r="B340" s="212"/>
      <c r="C340" s="213"/>
      <c r="D340" s="211"/>
      <c r="E340" s="214"/>
      <c r="F340" s="204"/>
      <c r="G340" s="201"/>
      <c r="H340" s="214"/>
      <c r="I340" s="214"/>
      <c r="J340" s="214"/>
      <c r="K340" s="214"/>
      <c r="L340" s="214"/>
    </row>
    <row r="341" ht="13.5" customHeight="1" spans="1:12" x14ac:dyDescent="0.25">
      <c r="A341" s="211"/>
      <c r="B341" s="212"/>
      <c r="C341" s="213"/>
      <c r="D341" s="211"/>
      <c r="E341" s="214"/>
      <c r="F341" s="204"/>
      <c r="G341" s="201"/>
      <c r="H341" s="214"/>
      <c r="I341" s="214"/>
      <c r="J341" s="214"/>
      <c r="K341" s="214"/>
      <c r="L341" s="214"/>
    </row>
    <row r="342" ht="13.5" customHeight="1" spans="1:12" x14ac:dyDescent="0.25">
      <c r="A342" s="211"/>
      <c r="B342" s="212"/>
      <c r="C342" s="213"/>
      <c r="D342" s="211"/>
      <c r="E342" s="214"/>
      <c r="F342" s="204"/>
      <c r="G342" s="201"/>
      <c r="H342" s="214"/>
      <c r="I342" s="214"/>
      <c r="J342" s="214"/>
      <c r="K342" s="214"/>
      <c r="L342" s="214"/>
    </row>
    <row r="343" ht="13.5" customHeight="1" spans="1:12" x14ac:dyDescent="0.25">
      <c r="A343" s="211"/>
      <c r="B343" s="212"/>
      <c r="C343" s="213"/>
      <c r="D343" s="211"/>
      <c r="E343" s="214"/>
      <c r="F343" s="204"/>
      <c r="G343" s="201"/>
      <c r="H343" s="214"/>
      <c r="I343" s="214"/>
      <c r="J343" s="214"/>
      <c r="K343" s="214"/>
      <c r="L343" s="214"/>
    </row>
    <row r="344" ht="13.5" customHeight="1" spans="1:12" x14ac:dyDescent="0.25">
      <c r="A344" s="211"/>
      <c r="B344" s="212"/>
      <c r="C344" s="213"/>
      <c r="D344" s="211"/>
      <c r="E344" s="214"/>
      <c r="F344" s="204"/>
      <c r="G344" s="201"/>
      <c r="H344" s="214"/>
      <c r="I344" s="214"/>
      <c r="J344" s="214"/>
      <c r="K344" s="214"/>
      <c r="L344" s="214"/>
    </row>
    <row r="345" ht="13.5" customHeight="1" spans="1:12" x14ac:dyDescent="0.25">
      <c r="A345" s="211"/>
      <c r="B345" s="212"/>
      <c r="C345" s="213"/>
      <c r="D345" s="211"/>
      <c r="E345" s="214"/>
      <c r="F345" s="204"/>
      <c r="G345" s="201"/>
      <c r="H345" s="214"/>
      <c r="I345" s="214"/>
      <c r="J345" s="214"/>
      <c r="K345" s="214"/>
      <c r="L345" s="214"/>
    </row>
    <row r="346" ht="13.5" customHeight="1" spans="1:12" x14ac:dyDescent="0.25">
      <c r="A346" s="211"/>
      <c r="B346" s="212"/>
      <c r="C346" s="213"/>
      <c r="D346" s="211"/>
      <c r="E346" s="214"/>
      <c r="F346" s="204"/>
      <c r="G346" s="201"/>
      <c r="H346" s="214"/>
      <c r="I346" s="214"/>
      <c r="J346" s="214"/>
      <c r="K346" s="214"/>
      <c r="L346" s="214"/>
    </row>
    <row r="347" ht="13.5" customHeight="1" spans="1:12" x14ac:dyDescent="0.25">
      <c r="A347" s="211"/>
      <c r="B347" s="212"/>
      <c r="C347" s="213"/>
      <c r="D347" s="211"/>
      <c r="E347" s="214"/>
      <c r="F347" s="204"/>
      <c r="G347" s="201"/>
      <c r="H347" s="214"/>
      <c r="I347" s="214"/>
      <c r="J347" s="214"/>
      <c r="K347" s="214"/>
      <c r="L347" s="214"/>
    </row>
    <row r="348" ht="13.5" customHeight="1" spans="1:12" x14ac:dyDescent="0.25">
      <c r="A348" s="211"/>
      <c r="B348" s="212"/>
      <c r="C348" s="213"/>
      <c r="D348" s="211"/>
      <c r="E348" s="214"/>
      <c r="F348" s="204"/>
      <c r="G348" s="201"/>
      <c r="H348" s="214"/>
      <c r="I348" s="214"/>
      <c r="J348" s="214"/>
      <c r="K348" s="214"/>
      <c r="L348" s="214"/>
    </row>
    <row r="349" ht="13.5" customHeight="1" spans="1:12" x14ac:dyDescent="0.25">
      <c r="A349" s="211"/>
      <c r="B349" s="212"/>
      <c r="C349" s="213"/>
      <c r="D349" s="211"/>
      <c r="E349" s="214"/>
      <c r="F349" s="204"/>
      <c r="G349" s="201"/>
      <c r="H349" s="214"/>
      <c r="I349" s="214"/>
      <c r="J349" s="214"/>
      <c r="K349" s="214"/>
      <c r="L349" s="214"/>
    </row>
    <row r="350" ht="13.5" customHeight="1" spans="1:12" x14ac:dyDescent="0.25">
      <c r="A350" s="211"/>
      <c r="B350" s="212"/>
      <c r="C350" s="213"/>
      <c r="D350" s="211"/>
      <c r="E350" s="214"/>
      <c r="F350" s="204"/>
      <c r="G350" s="201"/>
      <c r="H350" s="214"/>
      <c r="I350" s="214"/>
      <c r="J350" s="214"/>
      <c r="K350" s="214"/>
      <c r="L350" s="214"/>
    </row>
    <row r="351" ht="13.5" customHeight="1" spans="1:12" x14ac:dyDescent="0.25">
      <c r="A351" s="211"/>
      <c r="B351" s="212"/>
      <c r="C351" s="213"/>
      <c r="D351" s="211"/>
      <c r="E351" s="214"/>
      <c r="F351" s="204"/>
      <c r="G351" s="201"/>
      <c r="H351" s="214"/>
      <c r="I351" s="214"/>
      <c r="J351" s="214"/>
      <c r="K351" s="214"/>
      <c r="L351" s="214"/>
    </row>
    <row r="352" ht="13.5" customHeight="1" spans="1:12" x14ac:dyDescent="0.25">
      <c r="A352" s="211"/>
      <c r="B352" s="212"/>
      <c r="C352" s="213"/>
      <c r="D352" s="211"/>
      <c r="E352" s="214"/>
      <c r="F352" s="204"/>
      <c r="G352" s="201"/>
      <c r="H352" s="214"/>
      <c r="I352" s="214"/>
      <c r="J352" s="214"/>
      <c r="K352" s="214"/>
      <c r="L352" s="214"/>
    </row>
    <row r="353" ht="13.5" customHeight="1" spans="1:12" x14ac:dyDescent="0.25">
      <c r="A353" s="211"/>
      <c r="B353" s="212"/>
      <c r="C353" s="213"/>
      <c r="D353" s="211"/>
      <c r="E353" s="214"/>
      <c r="F353" s="204"/>
      <c r="G353" s="201"/>
      <c r="H353" s="214"/>
      <c r="I353" s="214"/>
      <c r="J353" s="214"/>
      <c r="K353" s="214"/>
      <c r="L353" s="214"/>
    </row>
    <row r="354" ht="13.5" customHeight="1" spans="1:12" x14ac:dyDescent="0.25">
      <c r="A354" s="211"/>
      <c r="B354" s="212"/>
      <c r="C354" s="213"/>
      <c r="D354" s="211"/>
      <c r="E354" s="214"/>
      <c r="F354" s="204"/>
      <c r="G354" s="201"/>
      <c r="H354" s="214"/>
      <c r="I354" s="214"/>
      <c r="J354" s="214"/>
      <c r="K354" s="214"/>
      <c r="L354" s="214"/>
    </row>
    <row r="355" ht="13.5" customHeight="1" spans="1:12" x14ac:dyDescent="0.25">
      <c r="A355" s="211"/>
      <c r="B355" s="212"/>
      <c r="C355" s="213"/>
      <c r="D355" s="211"/>
      <c r="E355" s="214"/>
      <c r="F355" s="204"/>
      <c r="G355" s="201"/>
      <c r="H355" s="214"/>
      <c r="I355" s="214"/>
      <c r="J355" s="214"/>
      <c r="K355" s="214"/>
      <c r="L355" s="214"/>
    </row>
    <row r="356" ht="13.5" customHeight="1" spans="1:12" x14ac:dyDescent="0.25">
      <c r="A356" s="211"/>
      <c r="B356" s="212"/>
      <c r="C356" s="213"/>
      <c r="D356" s="211"/>
      <c r="E356" s="214"/>
      <c r="F356" s="204"/>
      <c r="G356" s="201"/>
      <c r="H356" s="214"/>
      <c r="I356" s="214"/>
      <c r="J356" s="214"/>
      <c r="K356" s="214"/>
      <c r="L356" s="214"/>
    </row>
    <row r="357" ht="13.5" customHeight="1" spans="1:12" x14ac:dyDescent="0.25">
      <c r="A357" s="211"/>
      <c r="B357" s="212"/>
      <c r="C357" s="213"/>
      <c r="D357" s="211"/>
      <c r="E357" s="214"/>
      <c r="F357" s="204"/>
      <c r="G357" s="201"/>
      <c r="H357" s="214"/>
      <c r="I357" s="214"/>
      <c r="J357" s="214"/>
      <c r="K357" s="214"/>
      <c r="L357" s="214"/>
    </row>
    <row r="358" ht="13.5" customHeight="1" spans="1:12" x14ac:dyDescent="0.25">
      <c r="A358" s="211"/>
      <c r="B358" s="212"/>
      <c r="C358" s="213"/>
      <c r="D358" s="211"/>
      <c r="E358" s="214"/>
      <c r="F358" s="204"/>
      <c r="G358" s="201"/>
      <c r="H358" s="214"/>
      <c r="I358" s="214"/>
      <c r="J358" s="214"/>
      <c r="K358" s="214"/>
      <c r="L358" s="214"/>
    </row>
    <row r="359" ht="13.5" customHeight="1" spans="1:12" x14ac:dyDescent="0.25">
      <c r="A359" s="211"/>
      <c r="B359" s="212"/>
      <c r="C359" s="213"/>
      <c r="D359" s="211"/>
      <c r="E359" s="214"/>
      <c r="F359" s="204"/>
      <c r="G359" s="201"/>
      <c r="H359" s="214"/>
      <c r="I359" s="214"/>
      <c r="J359" s="214"/>
      <c r="K359" s="214"/>
      <c r="L359" s="214"/>
    </row>
    <row r="360" ht="13.5" customHeight="1" spans="1:12" x14ac:dyDescent="0.25">
      <c r="A360" s="211"/>
      <c r="B360" s="212"/>
      <c r="C360" s="213"/>
      <c r="D360" s="211"/>
      <c r="E360" s="214"/>
      <c r="F360" s="204"/>
      <c r="G360" s="201"/>
      <c r="H360" s="214"/>
      <c r="I360" s="214"/>
      <c r="J360" s="214"/>
      <c r="K360" s="214"/>
      <c r="L360" s="214"/>
    </row>
    <row r="361" ht="13.5" customHeight="1" spans="1:12" x14ac:dyDescent="0.25">
      <c r="A361" s="211"/>
      <c r="B361" s="212"/>
      <c r="C361" s="213"/>
      <c r="D361" s="211"/>
      <c r="E361" s="214"/>
      <c r="F361" s="204"/>
      <c r="G361" s="201"/>
      <c r="H361" s="214"/>
      <c r="I361" s="214"/>
      <c r="J361" s="214"/>
      <c r="K361" s="214"/>
      <c r="L361" s="214"/>
    </row>
    <row r="362" ht="13.5" customHeight="1" spans="1:12" x14ac:dyDescent="0.25">
      <c r="A362" s="211"/>
      <c r="B362" s="212"/>
      <c r="C362" s="213"/>
      <c r="D362" s="211"/>
      <c r="E362" s="214"/>
      <c r="F362" s="204"/>
      <c r="G362" s="201"/>
      <c r="H362" s="214"/>
      <c r="I362" s="214"/>
      <c r="J362" s="214"/>
      <c r="K362" s="214"/>
      <c r="L362" s="214"/>
    </row>
    <row r="363" ht="13.5" customHeight="1" spans="1:12" x14ac:dyDescent="0.25">
      <c r="A363" s="211"/>
      <c r="B363" s="212"/>
      <c r="C363" s="213"/>
      <c r="D363" s="211"/>
      <c r="E363" s="214"/>
      <c r="F363" s="204"/>
      <c r="G363" s="201"/>
      <c r="H363" s="214"/>
      <c r="I363" s="214"/>
      <c r="J363" s="214"/>
      <c r="K363" s="214"/>
      <c r="L363" s="214"/>
    </row>
    <row r="364" ht="13.5" customHeight="1" spans="1:12" x14ac:dyDescent="0.25">
      <c r="A364" s="211"/>
      <c r="B364" s="212"/>
      <c r="C364" s="213"/>
      <c r="D364" s="211"/>
      <c r="E364" s="214"/>
      <c r="F364" s="204"/>
      <c r="G364" s="201"/>
      <c r="H364" s="214"/>
      <c r="I364" s="214"/>
      <c r="J364" s="214"/>
      <c r="K364" s="214"/>
      <c r="L364" s="214"/>
    </row>
    <row r="365" ht="13.5" customHeight="1" spans="1:12" x14ac:dyDescent="0.25">
      <c r="A365" s="211"/>
      <c r="B365" s="212"/>
      <c r="C365" s="213"/>
      <c r="D365" s="211"/>
      <c r="E365" s="214"/>
      <c r="F365" s="204"/>
      <c r="G365" s="201"/>
      <c r="H365" s="214"/>
      <c r="I365" s="214"/>
      <c r="J365" s="214"/>
      <c r="K365" s="214"/>
      <c r="L365" s="214"/>
    </row>
    <row r="366" ht="13.5" customHeight="1" spans="1:12" x14ac:dyDescent="0.25">
      <c r="A366" s="211"/>
      <c r="B366" s="212"/>
      <c r="C366" s="213"/>
      <c r="D366" s="211"/>
      <c r="E366" s="214"/>
      <c r="F366" s="204"/>
      <c r="G366" s="201"/>
      <c r="H366" s="214"/>
      <c r="I366" s="214"/>
      <c r="J366" s="214"/>
      <c r="K366" s="214"/>
      <c r="L366" s="214"/>
    </row>
    <row r="367" ht="13.5" customHeight="1" spans="1:12" x14ac:dyDescent="0.25">
      <c r="A367" s="211"/>
      <c r="B367" s="212"/>
      <c r="C367" s="213"/>
      <c r="D367" s="211"/>
      <c r="E367" s="214"/>
      <c r="F367" s="204"/>
      <c r="G367" s="201"/>
      <c r="H367" s="214"/>
      <c r="I367" s="214"/>
      <c r="J367" s="214"/>
      <c r="K367" s="214"/>
      <c r="L367" s="214"/>
    </row>
    <row r="368" ht="13.5" customHeight="1" spans="1:12" x14ac:dyDescent="0.25">
      <c r="A368" s="211"/>
      <c r="B368" s="212"/>
      <c r="C368" s="213"/>
      <c r="D368" s="211"/>
      <c r="E368" s="214"/>
      <c r="F368" s="204"/>
      <c r="G368" s="201"/>
      <c r="H368" s="214"/>
      <c r="I368" s="214"/>
      <c r="J368" s="214"/>
      <c r="K368" s="214"/>
      <c r="L368" s="214"/>
    </row>
    <row r="369" ht="13.5" customHeight="1" spans="1:12" x14ac:dyDescent="0.25">
      <c r="A369" s="211"/>
      <c r="B369" s="212"/>
      <c r="C369" s="213"/>
      <c r="D369" s="211"/>
      <c r="E369" s="214"/>
      <c r="F369" s="204"/>
      <c r="G369" s="201"/>
      <c r="H369" s="214"/>
      <c r="I369" s="214"/>
      <c r="J369" s="214"/>
      <c r="K369" s="214"/>
      <c r="L369" s="214"/>
    </row>
    <row r="370" ht="13.5" customHeight="1" spans="1:12" x14ac:dyDescent="0.25">
      <c r="A370" s="211"/>
      <c r="B370" s="212"/>
      <c r="C370" s="213"/>
      <c r="D370" s="211"/>
      <c r="E370" s="214"/>
      <c r="F370" s="204"/>
      <c r="G370" s="201"/>
      <c r="H370" s="214"/>
      <c r="I370" s="214"/>
      <c r="J370" s="214"/>
      <c r="K370" s="214"/>
      <c r="L370" s="214"/>
    </row>
    <row r="371" ht="13.5" customHeight="1" spans="1:12" x14ac:dyDescent="0.25">
      <c r="A371" s="211"/>
      <c r="B371" s="212"/>
      <c r="C371" s="213"/>
      <c r="D371" s="211"/>
      <c r="E371" s="214"/>
      <c r="F371" s="204"/>
      <c r="G371" s="201"/>
      <c r="H371" s="214"/>
      <c r="I371" s="214"/>
      <c r="J371" s="214"/>
      <c r="K371" s="214"/>
      <c r="L371" s="214"/>
    </row>
    <row r="372" ht="13.5" customHeight="1" spans="1:12" x14ac:dyDescent="0.25">
      <c r="A372" s="211"/>
      <c r="B372" s="212"/>
      <c r="C372" s="213"/>
      <c r="D372" s="211"/>
      <c r="E372" s="214"/>
      <c r="F372" s="204"/>
      <c r="G372" s="201"/>
      <c r="H372" s="214"/>
      <c r="I372" s="214"/>
      <c r="J372" s="214"/>
      <c r="K372" s="214"/>
      <c r="L372" s="214"/>
    </row>
    <row r="373" ht="13.5" customHeight="1" spans="1:12" x14ac:dyDescent="0.25">
      <c r="A373" s="211"/>
      <c r="B373" s="212"/>
      <c r="C373" s="213"/>
      <c r="D373" s="211"/>
      <c r="E373" s="214"/>
      <c r="F373" s="204"/>
      <c r="G373" s="201"/>
      <c r="H373" s="214"/>
      <c r="I373" s="214"/>
      <c r="J373" s="214"/>
      <c r="K373" s="214"/>
      <c r="L373" s="214"/>
    </row>
    <row r="374" ht="13.5" customHeight="1" spans="1:12" x14ac:dyDescent="0.25">
      <c r="A374" s="211"/>
      <c r="B374" s="212"/>
      <c r="C374" s="213"/>
      <c r="D374" s="211"/>
      <c r="E374" s="214"/>
      <c r="F374" s="204"/>
      <c r="G374" s="201"/>
      <c r="H374" s="214"/>
      <c r="I374" s="214"/>
      <c r="J374" s="214"/>
      <c r="K374" s="214"/>
      <c r="L374" s="214"/>
    </row>
    <row r="375" ht="13.5" customHeight="1" spans="1:12" x14ac:dyDescent="0.25">
      <c r="A375" s="211"/>
      <c r="B375" s="212"/>
      <c r="C375" s="213"/>
      <c r="D375" s="211"/>
      <c r="E375" s="214"/>
      <c r="F375" s="204"/>
      <c r="G375" s="201"/>
      <c r="H375" s="214"/>
      <c r="I375" s="214"/>
      <c r="J375" s="214"/>
      <c r="K375" s="214"/>
      <c r="L375" s="214"/>
    </row>
    <row r="376" ht="13.5" customHeight="1" spans="1:12" x14ac:dyDescent="0.25">
      <c r="A376" s="211"/>
      <c r="B376" s="212"/>
      <c r="C376" s="213"/>
      <c r="D376" s="211"/>
      <c r="E376" s="214"/>
      <c r="F376" s="204"/>
      <c r="G376" s="201"/>
      <c r="H376" s="214"/>
      <c r="I376" s="214"/>
      <c r="J376" s="214"/>
      <c r="K376" s="214"/>
      <c r="L376" s="214"/>
    </row>
    <row r="377" ht="13.5" customHeight="1" spans="1:12" x14ac:dyDescent="0.25">
      <c r="A377" s="211"/>
      <c r="B377" s="212"/>
      <c r="C377" s="213"/>
      <c r="D377" s="211"/>
      <c r="E377" s="214"/>
      <c r="F377" s="204"/>
      <c r="G377" s="201"/>
      <c r="H377" s="214"/>
      <c r="I377" s="214"/>
      <c r="J377" s="214"/>
      <c r="K377" s="214"/>
      <c r="L377" s="214"/>
    </row>
    <row r="378" ht="13.5" customHeight="1" spans="1:12" x14ac:dyDescent="0.25">
      <c r="A378" s="211"/>
      <c r="B378" s="212"/>
      <c r="C378" s="213"/>
      <c r="D378" s="211"/>
      <c r="E378" s="214"/>
      <c r="F378" s="204"/>
      <c r="G378" s="201"/>
      <c r="H378" s="214"/>
      <c r="I378" s="214"/>
      <c r="J378" s="214"/>
      <c r="K378" s="214"/>
      <c r="L378" s="214"/>
    </row>
    <row r="379" ht="13.5" customHeight="1" spans="1:12" x14ac:dyDescent="0.25">
      <c r="A379" s="211"/>
      <c r="B379" s="212"/>
      <c r="C379" s="213"/>
      <c r="D379" s="211"/>
      <c r="E379" s="214"/>
      <c r="F379" s="204"/>
      <c r="G379" s="201"/>
      <c r="H379" s="214"/>
      <c r="I379" s="214"/>
      <c r="J379" s="214"/>
      <c r="K379" s="214"/>
      <c r="L379" s="214"/>
    </row>
    <row r="380" ht="13.5" customHeight="1" spans="1:12" x14ac:dyDescent="0.25">
      <c r="A380" s="211"/>
      <c r="B380" s="212"/>
      <c r="C380" s="213"/>
      <c r="D380" s="211"/>
      <c r="E380" s="214"/>
      <c r="F380" s="204"/>
      <c r="G380" s="201"/>
      <c r="H380" s="214"/>
      <c r="I380" s="214"/>
      <c r="J380" s="214"/>
      <c r="K380" s="214"/>
      <c r="L380" s="214"/>
    </row>
    <row r="381" ht="13.5" customHeight="1" spans="1:12" x14ac:dyDescent="0.25">
      <c r="A381" s="211"/>
      <c r="B381" s="212"/>
      <c r="C381" s="213"/>
      <c r="D381" s="211"/>
      <c r="E381" s="214"/>
      <c r="F381" s="204"/>
      <c r="G381" s="201"/>
      <c r="H381" s="214"/>
      <c r="I381" s="214"/>
      <c r="J381" s="214"/>
      <c r="K381" s="214"/>
      <c r="L381" s="214"/>
    </row>
    <row r="382" ht="13.5" customHeight="1" spans="1:12" x14ac:dyDescent="0.25">
      <c r="A382" s="211"/>
      <c r="B382" s="212"/>
      <c r="C382" s="213"/>
      <c r="D382" s="211"/>
      <c r="E382" s="214"/>
      <c r="F382" s="204"/>
      <c r="G382" s="201"/>
      <c r="H382" s="214"/>
      <c r="I382" s="214"/>
      <c r="J382" s="214"/>
      <c r="K382" s="214"/>
      <c r="L382" s="214"/>
    </row>
    <row r="383" ht="13.5" customHeight="1" spans="1:12" x14ac:dyDescent="0.25">
      <c r="A383" s="211"/>
      <c r="B383" s="212"/>
      <c r="C383" s="213"/>
      <c r="D383" s="211"/>
      <c r="E383" s="214"/>
      <c r="F383" s="204"/>
      <c r="G383" s="201"/>
      <c r="H383" s="214"/>
      <c r="I383" s="214"/>
      <c r="J383" s="214"/>
      <c r="K383" s="214"/>
      <c r="L383" s="214"/>
    </row>
    <row r="384" ht="13.5" customHeight="1" spans="1:12" x14ac:dyDescent="0.25">
      <c r="A384" s="211"/>
      <c r="B384" s="212"/>
      <c r="C384" s="213"/>
      <c r="D384" s="211"/>
      <c r="E384" s="214"/>
      <c r="F384" s="204"/>
      <c r="G384" s="201"/>
      <c r="H384" s="214"/>
      <c r="I384" s="214"/>
      <c r="J384" s="214"/>
      <c r="K384" s="214"/>
      <c r="L384" s="214"/>
    </row>
    <row r="385" ht="13.5" customHeight="1" spans="1:12" x14ac:dyDescent="0.25">
      <c r="A385" s="211"/>
      <c r="B385" s="212"/>
      <c r="C385" s="213"/>
      <c r="D385" s="211"/>
      <c r="E385" s="214"/>
      <c r="F385" s="204"/>
      <c r="G385" s="201"/>
      <c r="H385" s="214"/>
      <c r="I385" s="214"/>
      <c r="J385" s="214"/>
      <c r="K385" s="214"/>
      <c r="L385" s="214"/>
    </row>
    <row r="386" ht="13.5" customHeight="1" spans="1:12" x14ac:dyDescent="0.25">
      <c r="A386" s="211"/>
      <c r="B386" s="212"/>
      <c r="C386" s="213"/>
      <c r="D386" s="211"/>
      <c r="E386" s="214"/>
      <c r="F386" s="204"/>
      <c r="G386" s="201"/>
      <c r="H386" s="214"/>
      <c r="I386" s="214"/>
      <c r="J386" s="214"/>
      <c r="K386" s="214"/>
      <c r="L386" s="214"/>
    </row>
    <row r="387" ht="13.5" customHeight="1" spans="1:12" x14ac:dyDescent="0.25">
      <c r="A387" s="211"/>
      <c r="B387" s="212"/>
      <c r="C387" s="213"/>
      <c r="D387" s="211"/>
      <c r="E387" s="214"/>
      <c r="F387" s="204"/>
      <c r="G387" s="201"/>
      <c r="H387" s="214"/>
      <c r="I387" s="214"/>
      <c r="J387" s="214"/>
      <c r="K387" s="214"/>
      <c r="L387" s="214"/>
    </row>
    <row r="388" ht="13.5" customHeight="1" spans="1:12" x14ac:dyDescent="0.25">
      <c r="A388" s="211"/>
      <c r="B388" s="212"/>
      <c r="C388" s="213"/>
      <c r="D388" s="211"/>
      <c r="E388" s="214"/>
      <c r="F388" s="204"/>
      <c r="G388" s="201"/>
      <c r="H388" s="214"/>
      <c r="I388" s="214"/>
      <c r="J388" s="214"/>
      <c r="K388" s="214"/>
      <c r="L388" s="214"/>
    </row>
    <row r="389" ht="13.5" customHeight="1" spans="1:12" x14ac:dyDescent="0.25">
      <c r="A389" s="211"/>
      <c r="B389" s="212"/>
      <c r="C389" s="213"/>
      <c r="D389" s="211"/>
      <c r="E389" s="214"/>
      <c r="F389" s="204"/>
      <c r="G389" s="201"/>
      <c r="H389" s="214"/>
      <c r="I389" s="214"/>
      <c r="J389" s="214"/>
      <c r="K389" s="214"/>
      <c r="L389" s="214"/>
    </row>
    <row r="390" ht="13.5" customHeight="1" spans="1:12" x14ac:dyDescent="0.25">
      <c r="A390" s="211"/>
      <c r="B390" s="212"/>
      <c r="C390" s="213"/>
      <c r="D390" s="211"/>
      <c r="E390" s="214"/>
      <c r="F390" s="204"/>
      <c r="G390" s="201"/>
      <c r="H390" s="214"/>
      <c r="I390" s="214"/>
      <c r="J390" s="214"/>
      <c r="K390" s="214"/>
      <c r="L390" s="214"/>
    </row>
    <row r="391" ht="13.5" customHeight="1" spans="1:12" x14ac:dyDescent="0.25">
      <c r="A391" s="211"/>
      <c r="B391" s="212"/>
      <c r="C391" s="213"/>
      <c r="D391" s="211"/>
      <c r="E391" s="214"/>
      <c r="F391" s="204"/>
      <c r="G391" s="201"/>
      <c r="H391" s="214"/>
      <c r="I391" s="214"/>
      <c r="J391" s="214"/>
      <c r="K391" s="214"/>
      <c r="L391" s="214"/>
    </row>
    <row r="392" ht="13.5" customHeight="1" spans="1:12" x14ac:dyDescent="0.25">
      <c r="A392" s="211"/>
      <c r="B392" s="212"/>
      <c r="C392" s="213"/>
      <c r="D392" s="211"/>
      <c r="E392" s="214"/>
      <c r="F392" s="204"/>
      <c r="G392" s="201"/>
      <c r="H392" s="214"/>
      <c r="I392" s="214"/>
      <c r="J392" s="214"/>
      <c r="K392" s="214"/>
      <c r="L392" s="214"/>
    </row>
    <row r="393" ht="13.5" customHeight="1" spans="1:12" x14ac:dyDescent="0.25">
      <c r="A393" s="211"/>
      <c r="B393" s="212"/>
      <c r="C393" s="213"/>
      <c r="D393" s="211"/>
      <c r="E393" s="214"/>
      <c r="F393" s="204"/>
      <c r="G393" s="201"/>
      <c r="H393" s="214"/>
      <c r="I393" s="214"/>
      <c r="J393" s="214"/>
      <c r="K393" s="214"/>
      <c r="L393" s="214"/>
    </row>
    <row r="394" ht="13.5" customHeight="1" spans="1:12" x14ac:dyDescent="0.25">
      <c r="A394" s="211"/>
      <c r="B394" s="212"/>
      <c r="C394" s="213"/>
      <c r="D394" s="211"/>
      <c r="E394" s="214"/>
      <c r="F394" s="204"/>
      <c r="G394" s="201"/>
      <c r="H394" s="214"/>
      <c r="I394" s="214"/>
      <c r="J394" s="214"/>
      <c r="K394" s="214"/>
      <c r="L394" s="214"/>
    </row>
    <row r="395" ht="13.5" customHeight="1" spans="1:12" x14ac:dyDescent="0.25">
      <c r="A395" s="211"/>
      <c r="B395" s="212"/>
      <c r="C395" s="213"/>
      <c r="D395" s="211"/>
      <c r="E395" s="214"/>
      <c r="F395" s="204"/>
      <c r="G395" s="201"/>
      <c r="H395" s="214"/>
      <c r="I395" s="214"/>
      <c r="J395" s="214"/>
      <c r="K395" s="214"/>
      <c r="L395" s="214"/>
    </row>
    <row r="396" ht="13.5" customHeight="1" spans="1:12" x14ac:dyDescent="0.25">
      <c r="A396" s="211"/>
      <c r="B396" s="212"/>
      <c r="C396" s="213"/>
      <c r="D396" s="211"/>
      <c r="E396" s="214"/>
      <c r="F396" s="204"/>
      <c r="G396" s="201"/>
      <c r="H396" s="214"/>
      <c r="I396" s="214"/>
      <c r="J396" s="214"/>
      <c r="K396" s="214"/>
      <c r="L396" s="214"/>
    </row>
    <row r="397" ht="13.5" customHeight="1" spans="1:12" x14ac:dyDescent="0.25">
      <c r="A397" s="211"/>
      <c r="B397" s="212"/>
      <c r="C397" s="213"/>
      <c r="D397" s="211"/>
      <c r="E397" s="214"/>
      <c r="F397" s="204"/>
      <c r="G397" s="201"/>
      <c r="H397" s="214"/>
      <c r="I397" s="214"/>
      <c r="J397" s="214"/>
      <c r="K397" s="214"/>
      <c r="L397" s="214"/>
    </row>
    <row r="398" ht="13.5" customHeight="1" spans="1:12" x14ac:dyDescent="0.25">
      <c r="A398" s="211"/>
      <c r="B398" s="212"/>
      <c r="C398" s="213"/>
      <c r="D398" s="211"/>
      <c r="E398" s="214"/>
      <c r="F398" s="204"/>
      <c r="G398" s="201"/>
      <c r="H398" s="214"/>
      <c r="I398" s="214"/>
      <c r="J398" s="214"/>
      <c r="K398" s="214"/>
      <c r="L398" s="214"/>
    </row>
    <row r="399" ht="13.5" customHeight="1" spans="1:12" x14ac:dyDescent="0.25">
      <c r="A399" s="211"/>
      <c r="B399" s="212"/>
      <c r="C399" s="213"/>
      <c r="D399" s="211"/>
      <c r="E399" s="214"/>
      <c r="F399" s="204"/>
      <c r="G399" s="201"/>
      <c r="H399" s="214"/>
      <c r="I399" s="214"/>
      <c r="J399" s="214"/>
      <c r="K399" s="214"/>
      <c r="L399" s="214"/>
    </row>
    <row r="400" ht="13.5" customHeight="1" spans="1:12" x14ac:dyDescent="0.25">
      <c r="A400" s="211"/>
      <c r="B400" s="212"/>
      <c r="C400" s="213"/>
      <c r="D400" s="211"/>
      <c r="E400" s="214"/>
      <c r="F400" s="204"/>
      <c r="G400" s="201"/>
      <c r="H400" s="214"/>
      <c r="I400" s="214"/>
      <c r="J400" s="214"/>
      <c r="K400" s="214"/>
      <c r="L400" s="214"/>
    </row>
    <row r="401" ht="13.5" customHeight="1" spans="1:12" x14ac:dyDescent="0.25">
      <c r="A401" s="211"/>
      <c r="B401" s="212"/>
      <c r="C401" s="213"/>
      <c r="D401" s="211"/>
      <c r="E401" s="214"/>
      <c r="F401" s="204"/>
      <c r="G401" s="201"/>
      <c r="H401" s="214"/>
      <c r="I401" s="214"/>
      <c r="J401" s="214"/>
      <c r="K401" s="214"/>
      <c r="L401" s="214"/>
    </row>
    <row r="402" ht="13.5" customHeight="1" spans="1:12" x14ac:dyDescent="0.25">
      <c r="A402" s="211"/>
      <c r="B402" s="212"/>
      <c r="C402" s="213"/>
      <c r="D402" s="211"/>
      <c r="E402" s="214"/>
      <c r="F402" s="204"/>
      <c r="G402" s="201"/>
      <c r="H402" s="214"/>
      <c r="I402" s="214"/>
      <c r="J402" s="214"/>
      <c r="K402" s="214"/>
      <c r="L402" s="214"/>
    </row>
    <row r="403" ht="13.5" customHeight="1" spans="1:12" x14ac:dyDescent="0.25">
      <c r="A403" s="211"/>
      <c r="B403" s="212"/>
      <c r="C403" s="213"/>
      <c r="D403" s="211"/>
      <c r="E403" s="214"/>
      <c r="F403" s="204"/>
      <c r="G403" s="201"/>
      <c r="H403" s="214"/>
      <c r="I403" s="214"/>
      <c r="J403" s="214"/>
      <c r="K403" s="214"/>
      <c r="L403" s="214"/>
    </row>
    <row r="404" ht="13.5" customHeight="1" spans="1:12" x14ac:dyDescent="0.25">
      <c r="A404" s="211"/>
      <c r="B404" s="212"/>
      <c r="C404" s="213"/>
      <c r="D404" s="211"/>
      <c r="E404" s="214"/>
      <c r="F404" s="204"/>
      <c r="G404" s="201"/>
      <c r="H404" s="214"/>
      <c r="I404" s="214"/>
      <c r="J404" s="214"/>
      <c r="K404" s="214"/>
      <c r="L404" s="214"/>
    </row>
    <row r="405" ht="13.5" customHeight="1" spans="1:12" x14ac:dyDescent="0.25">
      <c r="A405" s="211"/>
      <c r="B405" s="212"/>
      <c r="C405" s="213"/>
      <c r="D405" s="211"/>
      <c r="E405" s="214"/>
      <c r="F405" s="204"/>
      <c r="G405" s="201"/>
      <c r="H405" s="214"/>
      <c r="I405" s="214"/>
      <c r="J405" s="214"/>
      <c r="K405" s="214"/>
      <c r="L405" s="214"/>
    </row>
    <row r="406" ht="13.5" customHeight="1" spans="1:12" x14ac:dyDescent="0.25">
      <c r="A406" s="211"/>
      <c r="B406" s="212"/>
      <c r="C406" s="213"/>
      <c r="D406" s="211"/>
      <c r="E406" s="214"/>
      <c r="F406" s="204"/>
      <c r="G406" s="201"/>
      <c r="H406" s="214"/>
      <c r="I406" s="214"/>
      <c r="J406" s="214"/>
      <c r="K406" s="214"/>
      <c r="L406" s="214"/>
    </row>
    <row r="407" ht="13.5" customHeight="1" spans="1:12" x14ac:dyDescent="0.25">
      <c r="A407" s="211"/>
      <c r="B407" s="212"/>
      <c r="C407" s="213"/>
      <c r="D407" s="211"/>
      <c r="E407" s="214"/>
      <c r="F407" s="204"/>
      <c r="G407" s="201"/>
      <c r="H407" s="214"/>
      <c r="I407" s="214"/>
      <c r="J407" s="214"/>
      <c r="K407" s="214"/>
      <c r="L407" s="214"/>
    </row>
    <row r="408" ht="13.5" customHeight="1" spans="1:12" x14ac:dyDescent="0.25">
      <c r="A408" s="211"/>
      <c r="B408" s="212"/>
      <c r="C408" s="213"/>
      <c r="D408" s="211"/>
      <c r="E408" s="214"/>
      <c r="F408" s="204"/>
      <c r="G408" s="201"/>
      <c r="H408" s="214"/>
      <c r="I408" s="214"/>
      <c r="J408" s="214"/>
      <c r="K408" s="214"/>
      <c r="L408" s="214"/>
    </row>
    <row r="409" ht="13.5" customHeight="1" spans="1:12" x14ac:dyDescent="0.25">
      <c r="A409" s="211"/>
      <c r="B409" s="212"/>
      <c r="C409" s="213"/>
      <c r="D409" s="211"/>
      <c r="E409" s="214"/>
      <c r="F409" s="204"/>
      <c r="G409" s="201"/>
      <c r="H409" s="214"/>
      <c r="I409" s="214"/>
      <c r="J409" s="214"/>
      <c r="K409" s="214"/>
      <c r="L409" s="214"/>
    </row>
    <row r="410" ht="13.5" customHeight="1" spans="1:12" x14ac:dyDescent="0.25">
      <c r="A410" s="211"/>
      <c r="B410" s="212"/>
      <c r="C410" s="213"/>
      <c r="D410" s="211"/>
      <c r="E410" s="214"/>
      <c r="F410" s="204"/>
      <c r="G410" s="201"/>
      <c r="H410" s="214"/>
      <c r="I410" s="214"/>
      <c r="J410" s="214"/>
      <c r="K410" s="214"/>
      <c r="L410" s="214"/>
    </row>
    <row r="411" ht="13.5" customHeight="1" spans="1:12" x14ac:dyDescent="0.25">
      <c r="A411" s="211"/>
      <c r="B411" s="212"/>
      <c r="C411" s="213"/>
      <c r="D411" s="211"/>
      <c r="E411" s="214"/>
      <c r="F411" s="204"/>
      <c r="G411" s="201"/>
      <c r="H411" s="214"/>
      <c r="I411" s="214"/>
      <c r="J411" s="214"/>
      <c r="K411" s="214"/>
      <c r="L411" s="214"/>
    </row>
    <row r="412" ht="13.5" customHeight="1" spans="1:12" x14ac:dyDescent="0.25">
      <c r="A412" s="211"/>
      <c r="B412" s="212"/>
      <c r="C412" s="213"/>
      <c r="D412" s="211"/>
      <c r="E412" s="214"/>
      <c r="F412" s="204"/>
      <c r="G412" s="201"/>
      <c r="H412" s="214"/>
      <c r="I412" s="214"/>
      <c r="J412" s="214"/>
      <c r="K412" s="214"/>
      <c r="L412" s="214"/>
    </row>
    <row r="413" ht="13.5" customHeight="1" spans="1:12" x14ac:dyDescent="0.25">
      <c r="A413" s="211"/>
      <c r="B413" s="212"/>
      <c r="C413" s="213"/>
      <c r="D413" s="211"/>
      <c r="E413" s="214"/>
      <c r="F413" s="204"/>
      <c r="G413" s="201"/>
      <c r="H413" s="214"/>
      <c r="I413" s="214"/>
      <c r="J413" s="214"/>
      <c r="K413" s="214"/>
      <c r="L413" s="214"/>
    </row>
    <row r="414" ht="13.5" customHeight="1" spans="1:12" x14ac:dyDescent="0.25">
      <c r="A414" s="211"/>
      <c r="B414" s="212"/>
      <c r="C414" s="213"/>
      <c r="D414" s="211"/>
      <c r="E414" s="214"/>
      <c r="F414" s="204"/>
      <c r="G414" s="201"/>
      <c r="H414" s="214"/>
      <c r="I414" s="214"/>
      <c r="J414" s="214"/>
      <c r="K414" s="214"/>
      <c r="L414" s="214"/>
    </row>
    <row r="415" ht="13.5" customHeight="1" spans="1:12" x14ac:dyDescent="0.25">
      <c r="A415" s="211"/>
      <c r="B415" s="212"/>
      <c r="C415" s="213"/>
      <c r="D415" s="211"/>
      <c r="E415" s="214"/>
      <c r="F415" s="204"/>
      <c r="G415" s="201"/>
      <c r="H415" s="214"/>
      <c r="I415" s="214"/>
      <c r="J415" s="214"/>
      <c r="K415" s="214"/>
      <c r="L415" s="214"/>
    </row>
    <row r="416" ht="13.5" customHeight="1" spans="1:12" x14ac:dyDescent="0.25">
      <c r="A416" s="211"/>
      <c r="B416" s="212"/>
      <c r="C416" s="213"/>
      <c r="D416" s="211"/>
      <c r="E416" s="214"/>
      <c r="F416" s="204"/>
      <c r="G416" s="201"/>
      <c r="H416" s="214"/>
      <c r="I416" s="214"/>
      <c r="J416" s="214"/>
      <c r="K416" s="214"/>
      <c r="L416" s="214"/>
    </row>
    <row r="417" ht="13.5" customHeight="1" spans="1:12" x14ac:dyDescent="0.25">
      <c r="A417" s="211"/>
      <c r="B417" s="212"/>
      <c r="C417" s="213"/>
      <c r="D417" s="211"/>
      <c r="E417" s="214"/>
      <c r="F417" s="204"/>
      <c r="G417" s="201"/>
      <c r="H417" s="214"/>
      <c r="I417" s="214"/>
      <c r="J417" s="214"/>
      <c r="K417" s="214"/>
      <c r="L417" s="214"/>
    </row>
    <row r="418" ht="13.5" customHeight="1" spans="1:12" x14ac:dyDescent="0.25">
      <c r="A418" s="211"/>
      <c r="B418" s="212"/>
      <c r="C418" s="213"/>
      <c r="D418" s="211"/>
      <c r="E418" s="214"/>
      <c r="F418" s="204"/>
      <c r="G418" s="201"/>
      <c r="H418" s="214"/>
      <c r="I418" s="214"/>
      <c r="J418" s="214"/>
      <c r="K418" s="214"/>
      <c r="L418" s="214"/>
    </row>
    <row r="419" ht="13.5" customHeight="1" spans="1:12" x14ac:dyDescent="0.25">
      <c r="A419" s="211"/>
      <c r="B419" s="212"/>
      <c r="C419" s="213"/>
      <c r="D419" s="211"/>
      <c r="E419" s="214"/>
      <c r="F419" s="204"/>
      <c r="G419" s="201"/>
      <c r="H419" s="214"/>
      <c r="I419" s="214"/>
      <c r="J419" s="214"/>
      <c r="K419" s="214"/>
      <c r="L419" s="214"/>
    </row>
    <row r="420" ht="13.5" customHeight="1" spans="1:12" x14ac:dyDescent="0.25">
      <c r="A420" s="211"/>
      <c r="B420" s="212"/>
      <c r="C420" s="213"/>
      <c r="D420" s="211"/>
      <c r="E420" s="214"/>
      <c r="F420" s="204"/>
      <c r="G420" s="201"/>
      <c r="H420" s="214"/>
      <c r="I420" s="214"/>
      <c r="J420" s="214"/>
      <c r="K420" s="214"/>
      <c r="L420" s="214"/>
    </row>
    <row r="421" ht="13.5" customHeight="1" spans="1:12" x14ac:dyDescent="0.25">
      <c r="A421" s="211"/>
      <c r="B421" s="212"/>
      <c r="C421" s="213"/>
      <c r="D421" s="211"/>
      <c r="E421" s="214"/>
      <c r="F421" s="204"/>
      <c r="G421" s="201"/>
      <c r="H421" s="214"/>
      <c r="I421" s="214"/>
      <c r="J421" s="214"/>
      <c r="K421" s="214"/>
      <c r="L421" s="214"/>
    </row>
    <row r="422" ht="13.5" customHeight="1" spans="1:12" x14ac:dyDescent="0.25">
      <c r="A422" s="211"/>
      <c r="B422" s="212"/>
      <c r="C422" s="213"/>
      <c r="D422" s="211"/>
      <c r="E422" s="214"/>
      <c r="F422" s="204"/>
      <c r="G422" s="201"/>
      <c r="H422" s="214"/>
      <c r="I422" s="214"/>
      <c r="J422" s="214"/>
      <c r="K422" s="214"/>
      <c r="L422" s="214"/>
    </row>
    <row r="423" ht="13.5" customHeight="1" spans="1:12" x14ac:dyDescent="0.25">
      <c r="A423" s="211"/>
      <c r="B423" s="212"/>
      <c r="C423" s="213"/>
      <c r="D423" s="211"/>
      <c r="E423" s="214"/>
      <c r="F423" s="204"/>
      <c r="G423" s="201"/>
      <c r="H423" s="214"/>
      <c r="I423" s="214"/>
      <c r="J423" s="214"/>
      <c r="K423" s="214"/>
      <c r="L423" s="214"/>
    </row>
    <row r="424" ht="13.5" customHeight="1" spans="1:12" x14ac:dyDescent="0.25">
      <c r="A424" s="211"/>
      <c r="B424" s="212"/>
      <c r="C424" s="213"/>
      <c r="D424" s="211"/>
      <c r="E424" s="214"/>
      <c r="F424" s="204"/>
      <c r="G424" s="201"/>
      <c r="H424" s="214"/>
      <c r="I424" s="214"/>
      <c r="J424" s="214"/>
      <c r="K424" s="214"/>
      <c r="L424" s="214"/>
    </row>
    <row r="425" ht="13.5" customHeight="1" spans="1:12" x14ac:dyDescent="0.25">
      <c r="A425" s="211"/>
      <c r="B425" s="212"/>
      <c r="C425" s="213"/>
      <c r="D425" s="211"/>
      <c r="E425" s="214"/>
      <c r="F425" s="204"/>
      <c r="G425" s="201"/>
      <c r="H425" s="214"/>
      <c r="I425" s="214"/>
      <c r="J425" s="214"/>
      <c r="K425" s="214"/>
      <c r="L425" s="214"/>
    </row>
    <row r="426" ht="13.5" customHeight="1" spans="1:12" x14ac:dyDescent="0.25">
      <c r="A426" s="211"/>
      <c r="B426" s="212"/>
      <c r="C426" s="213"/>
      <c r="D426" s="211"/>
      <c r="E426" s="214"/>
      <c r="F426" s="204"/>
      <c r="G426" s="201"/>
      <c r="H426" s="214"/>
      <c r="I426" s="214"/>
      <c r="J426" s="214"/>
      <c r="K426" s="214"/>
      <c r="L426" s="214"/>
    </row>
    <row r="427" ht="13.5" customHeight="1" spans="1:12" x14ac:dyDescent="0.25">
      <c r="A427" s="211"/>
      <c r="B427" s="212"/>
      <c r="C427" s="213"/>
      <c r="D427" s="211"/>
      <c r="E427" s="214"/>
      <c r="F427" s="204"/>
      <c r="G427" s="201"/>
      <c r="H427" s="214"/>
      <c r="I427" s="214"/>
      <c r="J427" s="214"/>
      <c r="K427" s="214"/>
      <c r="L427" s="214"/>
    </row>
    <row r="428" ht="13.5" customHeight="1" spans="1:12" x14ac:dyDescent="0.25">
      <c r="A428" s="211"/>
      <c r="B428" s="212"/>
      <c r="C428" s="213"/>
      <c r="D428" s="211"/>
      <c r="E428" s="214"/>
      <c r="F428" s="204"/>
      <c r="G428" s="201"/>
      <c r="H428" s="214"/>
      <c r="I428" s="214"/>
      <c r="J428" s="214"/>
      <c r="K428" s="214"/>
      <c r="L428" s="214"/>
    </row>
    <row r="429" ht="13.5" customHeight="1" spans="1:12" x14ac:dyDescent="0.25">
      <c r="A429" s="211"/>
      <c r="B429" s="212"/>
      <c r="C429" s="213"/>
      <c r="D429" s="211"/>
      <c r="E429" s="214"/>
      <c r="F429" s="204"/>
      <c r="G429" s="201"/>
      <c r="H429" s="214"/>
      <c r="I429" s="214"/>
      <c r="J429" s="214"/>
      <c r="K429" s="214"/>
      <c r="L429" s="214"/>
    </row>
    <row r="430" ht="13.5" customHeight="1" spans="1:12" x14ac:dyDescent="0.25">
      <c r="A430" s="211"/>
      <c r="B430" s="212"/>
      <c r="C430" s="213"/>
      <c r="D430" s="211"/>
      <c r="E430" s="214"/>
      <c r="F430" s="204"/>
      <c r="G430" s="201"/>
      <c r="H430" s="214"/>
      <c r="I430" s="214"/>
      <c r="J430" s="214"/>
      <c r="K430" s="214"/>
      <c r="L430" s="214"/>
    </row>
    <row r="431" ht="13.5" customHeight="1" spans="1:12" x14ac:dyDescent="0.25">
      <c r="A431" s="211"/>
      <c r="B431" s="212"/>
      <c r="C431" s="213"/>
      <c r="D431" s="211"/>
      <c r="E431" s="214"/>
      <c r="F431" s="204"/>
      <c r="G431" s="201"/>
      <c r="H431" s="214"/>
      <c r="I431" s="214"/>
      <c r="J431" s="214"/>
      <c r="K431" s="214"/>
      <c r="L431" s="214"/>
    </row>
    <row r="432" ht="13.5" customHeight="1" spans="1:12" x14ac:dyDescent="0.25">
      <c r="A432" s="211"/>
      <c r="B432" s="212"/>
      <c r="C432" s="213"/>
      <c r="D432" s="211"/>
      <c r="E432" s="214"/>
      <c r="F432" s="204"/>
      <c r="G432" s="201"/>
      <c r="H432" s="214"/>
      <c r="I432" s="214"/>
      <c r="J432" s="214"/>
      <c r="K432" s="214"/>
      <c r="L432" s="214"/>
    </row>
    <row r="433" ht="13.5" customHeight="1" spans="1:12" x14ac:dyDescent="0.25">
      <c r="A433" s="211"/>
      <c r="B433" s="212"/>
      <c r="C433" s="213"/>
      <c r="D433" s="211"/>
      <c r="E433" s="214"/>
      <c r="F433" s="204"/>
      <c r="G433" s="201"/>
      <c r="H433" s="214"/>
      <c r="I433" s="214"/>
      <c r="J433" s="214"/>
      <c r="K433" s="214"/>
      <c r="L433" s="214"/>
    </row>
    <row r="434" ht="13.5" customHeight="1" spans="1:12" x14ac:dyDescent="0.25">
      <c r="A434" s="211"/>
      <c r="B434" s="212"/>
      <c r="C434" s="213"/>
      <c r="D434" s="211"/>
      <c r="E434" s="214"/>
      <c r="F434" s="204"/>
      <c r="G434" s="201"/>
      <c r="H434" s="214"/>
      <c r="I434" s="214"/>
      <c r="J434" s="214"/>
      <c r="K434" s="214"/>
      <c r="L434" s="214"/>
    </row>
    <row r="435" ht="13.5" customHeight="1" spans="1:12" x14ac:dyDescent="0.25">
      <c r="A435" s="211"/>
      <c r="B435" s="212"/>
      <c r="C435" s="213"/>
      <c r="D435" s="211"/>
      <c r="E435" s="214"/>
      <c r="F435" s="204"/>
      <c r="G435" s="201"/>
      <c r="H435" s="214"/>
      <c r="I435" s="214"/>
      <c r="J435" s="214"/>
      <c r="K435" s="214"/>
      <c r="L435" s="214"/>
    </row>
    <row r="436" ht="13.5" customHeight="1" spans="1:12" x14ac:dyDescent="0.25">
      <c r="A436" s="211"/>
      <c r="B436" s="212"/>
      <c r="C436" s="213"/>
      <c r="D436" s="211"/>
      <c r="E436" s="214"/>
      <c r="F436" s="204"/>
      <c r="G436" s="201"/>
      <c r="H436" s="214"/>
      <c r="I436" s="214"/>
      <c r="J436" s="214"/>
      <c r="K436" s="214"/>
      <c r="L436" s="214"/>
    </row>
    <row r="437" ht="13.5" customHeight="1" spans="1:12" x14ac:dyDescent="0.25">
      <c r="A437" s="211"/>
      <c r="B437" s="212"/>
      <c r="C437" s="213"/>
      <c r="D437" s="211"/>
      <c r="E437" s="214"/>
      <c r="F437" s="204"/>
      <c r="G437" s="201"/>
      <c r="H437" s="214"/>
      <c r="I437" s="214"/>
      <c r="J437" s="214"/>
      <c r="K437" s="214"/>
      <c r="L437" s="214"/>
    </row>
    <row r="438" ht="13.5" customHeight="1" spans="1:12" x14ac:dyDescent="0.25">
      <c r="A438" s="211"/>
      <c r="B438" s="212"/>
      <c r="C438" s="213"/>
      <c r="D438" s="211"/>
      <c r="E438" s="214"/>
      <c r="F438" s="204"/>
      <c r="G438" s="201"/>
      <c r="H438" s="214"/>
      <c r="I438" s="214"/>
      <c r="J438" s="214"/>
      <c r="K438" s="214"/>
      <c r="L438" s="214"/>
    </row>
    <row r="439" ht="13.5" customHeight="1" spans="1:12" x14ac:dyDescent="0.25">
      <c r="A439" s="211"/>
      <c r="B439" s="212"/>
      <c r="C439" s="213"/>
      <c r="D439" s="211"/>
      <c r="E439" s="214"/>
      <c r="F439" s="204"/>
      <c r="G439" s="201"/>
      <c r="H439" s="214"/>
      <c r="I439" s="214"/>
      <c r="J439" s="214"/>
      <c r="K439" s="214"/>
      <c r="L439" s="214"/>
    </row>
    <row r="440" ht="13.5" customHeight="1" spans="1:12" x14ac:dyDescent="0.25">
      <c r="A440" s="211"/>
      <c r="B440" s="212"/>
      <c r="C440" s="213"/>
      <c r="D440" s="211"/>
      <c r="E440" s="214"/>
      <c r="F440" s="204"/>
      <c r="G440" s="201"/>
      <c r="H440" s="214"/>
      <c r="I440" s="214"/>
      <c r="J440" s="214"/>
      <c r="K440" s="214"/>
      <c r="L440" s="214"/>
    </row>
    <row r="441" ht="13.5" customHeight="1" spans="1:12" x14ac:dyDescent="0.25">
      <c r="A441" s="211"/>
      <c r="B441" s="212"/>
      <c r="C441" s="213"/>
      <c r="D441" s="211"/>
      <c r="E441" s="214"/>
      <c r="F441" s="204"/>
      <c r="G441" s="201"/>
      <c r="H441" s="214"/>
      <c r="I441" s="214"/>
      <c r="J441" s="214"/>
      <c r="K441" s="214"/>
      <c r="L441" s="214"/>
    </row>
    <row r="442" ht="13.5" customHeight="1" spans="1:12" x14ac:dyDescent="0.25">
      <c r="A442" s="211"/>
      <c r="B442" s="212"/>
      <c r="C442" s="213"/>
      <c r="D442" s="211"/>
      <c r="E442" s="214"/>
      <c r="F442" s="204"/>
      <c r="G442" s="201"/>
      <c r="H442" s="214"/>
      <c r="I442" s="214"/>
      <c r="J442" s="214"/>
      <c r="K442" s="214"/>
      <c r="L442" s="214"/>
    </row>
    <row r="443" ht="13.5" customHeight="1" spans="1:12" x14ac:dyDescent="0.25">
      <c r="A443" s="211"/>
      <c r="B443" s="212"/>
      <c r="C443" s="213"/>
      <c r="D443" s="211"/>
      <c r="E443" s="214"/>
      <c r="F443" s="204"/>
      <c r="G443" s="201"/>
      <c r="H443" s="214"/>
      <c r="I443" s="214"/>
      <c r="J443" s="214"/>
      <c r="K443" s="214"/>
      <c r="L443" s="214"/>
    </row>
    <row r="444" ht="13.5" customHeight="1" spans="1:12" x14ac:dyDescent="0.25">
      <c r="A444" s="211"/>
      <c r="B444" s="212"/>
      <c r="C444" s="213"/>
      <c r="D444" s="211"/>
      <c r="E444" s="214"/>
      <c r="F444" s="204"/>
      <c r="G444" s="201"/>
      <c r="H444" s="214"/>
      <c r="I444" s="214"/>
      <c r="J444" s="214"/>
      <c r="K444" s="214"/>
      <c r="L444" s="214"/>
    </row>
    <row r="445" ht="13.5" customHeight="1" spans="1:12" x14ac:dyDescent="0.25">
      <c r="A445" s="211"/>
      <c r="B445" s="212"/>
      <c r="C445" s="213"/>
      <c r="D445" s="211"/>
      <c r="E445" s="214"/>
      <c r="F445" s="204"/>
      <c r="G445" s="201"/>
      <c r="H445" s="214"/>
      <c r="I445" s="214"/>
      <c r="J445" s="214"/>
      <c r="K445" s="214"/>
      <c r="L445" s="214"/>
    </row>
    <row r="446" ht="13.5" customHeight="1" spans="1:12" x14ac:dyDescent="0.25">
      <c r="A446" s="211"/>
      <c r="B446" s="212"/>
      <c r="C446" s="213"/>
      <c r="D446" s="211"/>
      <c r="E446" s="214"/>
      <c r="F446" s="204"/>
      <c r="G446" s="201"/>
      <c r="H446" s="214"/>
      <c r="I446" s="214"/>
      <c r="J446" s="214"/>
      <c r="K446" s="214"/>
      <c r="L446" s="214"/>
    </row>
    <row r="447" ht="13.5" customHeight="1" spans="1:12" x14ac:dyDescent="0.25">
      <c r="A447" s="211"/>
      <c r="B447" s="212"/>
      <c r="C447" s="213"/>
      <c r="D447" s="211"/>
      <c r="E447" s="214"/>
      <c r="F447" s="204"/>
      <c r="G447" s="201"/>
      <c r="H447" s="214"/>
      <c r="I447" s="214"/>
      <c r="J447" s="214"/>
      <c r="K447" s="214"/>
      <c r="L447" s="214"/>
    </row>
    <row r="448" ht="13.5" customHeight="1" spans="1:12" x14ac:dyDescent="0.25">
      <c r="A448" s="211"/>
      <c r="B448" s="212"/>
      <c r="C448" s="213"/>
      <c r="D448" s="211"/>
      <c r="E448" s="214"/>
      <c r="F448" s="204"/>
      <c r="G448" s="201"/>
      <c r="H448" s="214"/>
      <c r="I448" s="214"/>
      <c r="J448" s="214"/>
      <c r="K448" s="214"/>
      <c r="L448" s="214"/>
    </row>
    <row r="449" ht="13.5" customHeight="1" spans="1:12" x14ac:dyDescent="0.25">
      <c r="A449" s="211"/>
      <c r="B449" s="212"/>
      <c r="C449" s="213"/>
      <c r="D449" s="211"/>
      <c r="E449" s="214"/>
      <c r="F449" s="204"/>
      <c r="G449" s="201"/>
      <c r="H449" s="214"/>
      <c r="I449" s="214"/>
      <c r="J449" s="214"/>
      <c r="K449" s="214"/>
      <c r="L449" s="214"/>
    </row>
    <row r="450" ht="13.5" customHeight="1" spans="1:12" x14ac:dyDescent="0.25">
      <c r="A450" s="211"/>
      <c r="B450" s="212"/>
      <c r="C450" s="213"/>
      <c r="D450" s="211"/>
      <c r="E450" s="214"/>
      <c r="F450" s="204"/>
      <c r="G450" s="201"/>
      <c r="H450" s="214"/>
      <c r="I450" s="214"/>
      <c r="J450" s="214"/>
      <c r="K450" s="214"/>
      <c r="L450" s="214"/>
    </row>
    <row r="451" ht="13.5" customHeight="1" spans="1:12" x14ac:dyDescent="0.25">
      <c r="A451" s="211"/>
      <c r="B451" s="212"/>
      <c r="C451" s="213"/>
      <c r="D451" s="211"/>
      <c r="E451" s="214"/>
      <c r="F451" s="204"/>
      <c r="G451" s="201"/>
      <c r="H451" s="214"/>
      <c r="I451" s="214"/>
      <c r="J451" s="214"/>
      <c r="K451" s="214"/>
      <c r="L451" s="214"/>
    </row>
    <row r="452" ht="13.5" customHeight="1" spans="1:12" x14ac:dyDescent="0.25">
      <c r="A452" s="211"/>
      <c r="B452" s="212"/>
      <c r="C452" s="213"/>
      <c r="D452" s="211"/>
      <c r="E452" s="214"/>
      <c r="F452" s="204"/>
      <c r="G452" s="201"/>
      <c r="H452" s="214"/>
      <c r="I452" s="214"/>
      <c r="J452" s="214"/>
      <c r="K452" s="214"/>
      <c r="L452" s="214"/>
    </row>
    <row r="453" ht="13.5" customHeight="1" spans="1:12" x14ac:dyDescent="0.25">
      <c r="A453" s="211"/>
      <c r="B453" s="212"/>
      <c r="C453" s="213"/>
      <c r="D453" s="211"/>
      <c r="E453" s="214"/>
      <c r="F453" s="204"/>
      <c r="G453" s="201"/>
      <c r="H453" s="214"/>
      <c r="I453" s="214"/>
      <c r="J453" s="214"/>
      <c r="K453" s="214"/>
      <c r="L453" s="214"/>
    </row>
    <row r="454" ht="13.5" customHeight="1" spans="1:12" x14ac:dyDescent="0.25">
      <c r="A454" s="211"/>
      <c r="B454" s="212"/>
      <c r="C454" s="213"/>
      <c r="D454" s="211"/>
      <c r="E454" s="214"/>
      <c r="F454" s="204"/>
      <c r="G454" s="201"/>
      <c r="H454" s="214"/>
      <c r="I454" s="214"/>
      <c r="J454" s="214"/>
      <c r="K454" s="214"/>
      <c r="L454" s="214"/>
    </row>
    <row r="455" ht="13.5" customHeight="1" spans="1:12" x14ac:dyDescent="0.25">
      <c r="A455" s="211"/>
      <c r="B455" s="212"/>
      <c r="C455" s="213"/>
      <c r="D455" s="211"/>
      <c r="E455" s="214"/>
      <c r="F455" s="204"/>
      <c r="G455" s="201"/>
      <c r="H455" s="214"/>
      <c r="I455" s="214"/>
      <c r="J455" s="214"/>
      <c r="K455" s="214"/>
      <c r="L455" s="214"/>
    </row>
    <row r="456" ht="13.5" customHeight="1" spans="1:12" x14ac:dyDescent="0.25">
      <c r="A456" s="211"/>
      <c r="B456" s="212"/>
      <c r="C456" s="213"/>
      <c r="D456" s="211"/>
      <c r="E456" s="214"/>
      <c r="F456" s="204"/>
      <c r="G456" s="201"/>
      <c r="H456" s="214"/>
      <c r="I456" s="214"/>
      <c r="J456" s="214"/>
      <c r="K456" s="214"/>
      <c r="L456" s="214"/>
    </row>
    <row r="457" ht="13.5" customHeight="1" spans="1:12" x14ac:dyDescent="0.25">
      <c r="A457" s="211"/>
      <c r="B457" s="212"/>
      <c r="C457" s="213"/>
      <c r="D457" s="211"/>
      <c r="E457" s="214"/>
      <c r="F457" s="204"/>
      <c r="G457" s="201"/>
      <c r="H457" s="214"/>
      <c r="I457" s="214"/>
      <c r="J457" s="214"/>
      <c r="K457" s="214"/>
      <c r="L457" s="214"/>
    </row>
    <row r="458" ht="13.5" customHeight="1" spans="1:12" x14ac:dyDescent="0.25">
      <c r="A458" s="211"/>
      <c r="B458" s="212"/>
      <c r="C458" s="213"/>
      <c r="D458" s="211"/>
      <c r="E458" s="214"/>
      <c r="F458" s="204"/>
      <c r="G458" s="201"/>
      <c r="H458" s="214"/>
      <c r="I458" s="214"/>
      <c r="J458" s="214"/>
      <c r="K458" s="214"/>
      <c r="L458" s="214"/>
    </row>
    <row r="459" ht="13.5" customHeight="1" spans="1:12" x14ac:dyDescent="0.25">
      <c r="A459" s="211"/>
      <c r="B459" s="212"/>
      <c r="C459" s="213"/>
      <c r="D459" s="211"/>
      <c r="E459" s="214"/>
      <c r="F459" s="204"/>
      <c r="G459" s="201"/>
      <c r="H459" s="214"/>
      <c r="I459" s="214"/>
      <c r="J459" s="214"/>
      <c r="K459" s="214"/>
      <c r="L459" s="214"/>
    </row>
    <row r="460" ht="13.5" customHeight="1" spans="1:12" x14ac:dyDescent="0.25">
      <c r="A460" s="211"/>
      <c r="B460" s="212"/>
      <c r="C460" s="213"/>
      <c r="D460" s="211"/>
      <c r="E460" s="214"/>
      <c r="F460" s="204"/>
      <c r="G460" s="201"/>
      <c r="H460" s="214"/>
      <c r="I460" s="214"/>
      <c r="J460" s="214"/>
      <c r="K460" s="214"/>
      <c r="L460" s="214"/>
    </row>
    <row r="461" ht="13.5" customHeight="1" spans="1:12" x14ac:dyDescent="0.25">
      <c r="A461" s="211"/>
      <c r="B461" s="212"/>
      <c r="C461" s="213"/>
      <c r="D461" s="211"/>
      <c r="E461" s="214"/>
      <c r="F461" s="204"/>
      <c r="G461" s="201"/>
      <c r="H461" s="214"/>
      <c r="I461" s="214"/>
      <c r="J461" s="214"/>
      <c r="K461" s="214"/>
      <c r="L461" s="214"/>
    </row>
    <row r="462" ht="13.5" customHeight="1" spans="1:12" x14ac:dyDescent="0.25">
      <c r="A462" s="211"/>
      <c r="B462" s="212"/>
      <c r="C462" s="213"/>
      <c r="D462" s="211"/>
      <c r="E462" s="214"/>
      <c r="F462" s="204"/>
      <c r="G462" s="201"/>
      <c r="H462" s="214"/>
      <c r="I462" s="214"/>
      <c r="J462" s="214"/>
      <c r="K462" s="214"/>
      <c r="L462" s="214"/>
    </row>
    <row r="463" ht="13.5" customHeight="1" spans="1:12" x14ac:dyDescent="0.25">
      <c r="A463" s="211"/>
      <c r="B463" s="212"/>
      <c r="C463" s="213"/>
      <c r="D463" s="211"/>
      <c r="E463" s="214"/>
      <c r="F463" s="204"/>
      <c r="G463" s="201"/>
      <c r="H463" s="214"/>
      <c r="I463" s="214"/>
      <c r="J463" s="214"/>
      <c r="K463" s="214"/>
      <c r="L463" s="214"/>
    </row>
    <row r="464" ht="13.5" customHeight="1" spans="1:12" x14ac:dyDescent="0.25">
      <c r="A464" s="211"/>
      <c r="B464" s="212"/>
      <c r="C464" s="213"/>
      <c r="D464" s="211"/>
      <c r="E464" s="214"/>
      <c r="F464" s="204"/>
      <c r="G464" s="201"/>
      <c r="H464" s="214"/>
      <c r="I464" s="214"/>
      <c r="J464" s="214"/>
      <c r="K464" s="214"/>
      <c r="L464" s="214"/>
    </row>
    <row r="465" ht="13.5" customHeight="1" spans="1:12" x14ac:dyDescent="0.25">
      <c r="A465" s="211"/>
      <c r="B465" s="212"/>
      <c r="C465" s="213"/>
      <c r="D465" s="211"/>
      <c r="E465" s="214"/>
      <c r="F465" s="204"/>
      <c r="G465" s="201"/>
      <c r="H465" s="214"/>
      <c r="I465" s="214"/>
      <c r="J465" s="214"/>
      <c r="K465" s="214"/>
      <c r="L465" s="214"/>
    </row>
    <row r="466" ht="13.5" customHeight="1" spans="1:12" x14ac:dyDescent="0.25">
      <c r="A466" s="211"/>
      <c r="B466" s="212"/>
      <c r="C466" s="213"/>
      <c r="D466" s="211"/>
      <c r="E466" s="214"/>
      <c r="F466" s="204"/>
      <c r="G466" s="201"/>
      <c r="H466" s="214"/>
      <c r="I466" s="214"/>
      <c r="J466" s="214"/>
      <c r="K466" s="214"/>
      <c r="L466" s="214"/>
    </row>
    <row r="467" ht="13.5" customHeight="1" spans="1:12" x14ac:dyDescent="0.25">
      <c r="A467" s="211"/>
      <c r="B467" s="212"/>
      <c r="C467" s="213"/>
      <c r="D467" s="211"/>
      <c r="E467" s="214"/>
      <c r="F467" s="204"/>
      <c r="G467" s="201"/>
      <c r="H467" s="214"/>
      <c r="I467" s="214"/>
      <c r="J467" s="214"/>
      <c r="K467" s="214"/>
      <c r="L467" s="214"/>
    </row>
    <row r="468" ht="13.5" customHeight="1" spans="1:12" x14ac:dyDescent="0.25">
      <c r="A468" s="211"/>
      <c r="B468" s="212"/>
      <c r="C468" s="213"/>
      <c r="D468" s="211"/>
      <c r="E468" s="214"/>
      <c r="F468" s="204"/>
      <c r="G468" s="201"/>
      <c r="H468" s="214"/>
      <c r="I468" s="214"/>
      <c r="J468" s="214"/>
      <c r="K468" s="214"/>
      <c r="L468" s="214"/>
    </row>
    <row r="469" ht="13.5" customHeight="1" spans="1:12" x14ac:dyDescent="0.25">
      <c r="A469" s="211"/>
      <c r="B469" s="212"/>
      <c r="C469" s="213"/>
      <c r="D469" s="211"/>
      <c r="E469" s="214"/>
      <c r="F469" s="204"/>
      <c r="G469" s="201"/>
      <c r="H469" s="214"/>
      <c r="I469" s="214"/>
      <c r="J469" s="214"/>
      <c r="K469" s="214"/>
      <c r="L469" s="214"/>
    </row>
    <row r="470" ht="13.5" customHeight="1" spans="1:12" x14ac:dyDescent="0.25">
      <c r="A470" s="211"/>
      <c r="B470" s="212"/>
      <c r="C470" s="213"/>
      <c r="D470" s="211"/>
      <c r="E470" s="214"/>
      <c r="F470" s="204"/>
      <c r="G470" s="201"/>
      <c r="H470" s="214"/>
      <c r="I470" s="214"/>
      <c r="J470" s="214"/>
      <c r="K470" s="214"/>
      <c r="L470" s="214"/>
    </row>
    <row r="471" ht="13.5" customHeight="1" spans="1:12" x14ac:dyDescent="0.25">
      <c r="A471" s="211"/>
      <c r="B471" s="212"/>
      <c r="C471" s="213"/>
      <c r="D471" s="211"/>
      <c r="E471" s="214"/>
      <c r="F471" s="204"/>
      <c r="G471" s="201"/>
      <c r="H471" s="214"/>
      <c r="I471" s="214"/>
      <c r="J471" s="214"/>
      <c r="K471" s="214"/>
      <c r="L471" s="214"/>
    </row>
    <row r="472" ht="13.5" customHeight="1" spans="1:12" x14ac:dyDescent="0.25">
      <c r="A472" s="211"/>
      <c r="B472" s="212"/>
      <c r="C472" s="213"/>
      <c r="D472" s="211"/>
      <c r="E472" s="214"/>
      <c r="F472" s="204"/>
      <c r="G472" s="201"/>
      <c r="H472" s="214"/>
      <c r="I472" s="214"/>
      <c r="J472" s="214"/>
      <c r="K472" s="214"/>
      <c r="L472" s="214"/>
    </row>
    <row r="473" ht="13.5" customHeight="1" spans="1:12" x14ac:dyDescent="0.25">
      <c r="A473" s="211"/>
      <c r="B473" s="212"/>
      <c r="C473" s="213"/>
      <c r="D473" s="211"/>
      <c r="E473" s="214"/>
      <c r="F473" s="204"/>
      <c r="G473" s="201"/>
      <c r="H473" s="214"/>
      <c r="I473" s="214"/>
      <c r="J473" s="214"/>
      <c r="K473" s="214"/>
      <c r="L473" s="214"/>
    </row>
    <row r="474" ht="13.5" customHeight="1" spans="1:12" x14ac:dyDescent="0.25">
      <c r="A474" s="211"/>
      <c r="B474" s="212"/>
      <c r="C474" s="213"/>
      <c r="D474" s="211"/>
      <c r="E474" s="214"/>
      <c r="F474" s="204"/>
      <c r="G474" s="201"/>
      <c r="H474" s="214"/>
      <c r="I474" s="214"/>
      <c r="J474" s="214"/>
      <c r="K474" s="214"/>
      <c r="L474" s="214"/>
    </row>
    <row r="475" ht="13.5" customHeight="1" spans="1:12" x14ac:dyDescent="0.25">
      <c r="A475" s="211"/>
      <c r="B475" s="212"/>
      <c r="C475" s="213"/>
      <c r="D475" s="211"/>
      <c r="E475" s="214"/>
      <c r="F475" s="204"/>
      <c r="G475" s="201"/>
      <c r="H475" s="214"/>
      <c r="I475" s="214"/>
      <c r="J475" s="214"/>
      <c r="K475" s="214"/>
      <c r="L475" s="214"/>
    </row>
    <row r="476" ht="13.5" customHeight="1" spans="1:12" x14ac:dyDescent="0.25">
      <c r="A476" s="211"/>
      <c r="B476" s="212"/>
      <c r="C476" s="213"/>
      <c r="D476" s="211"/>
      <c r="E476" s="214"/>
      <c r="F476" s="204"/>
      <c r="G476" s="201"/>
      <c r="H476" s="214"/>
      <c r="I476" s="214"/>
      <c r="J476" s="214"/>
      <c r="K476" s="214"/>
      <c r="L476" s="214"/>
    </row>
    <row r="477" ht="13.5" customHeight="1" spans="1:12" x14ac:dyDescent="0.25">
      <c r="A477" s="211"/>
      <c r="B477" s="212"/>
      <c r="C477" s="213"/>
      <c r="D477" s="211"/>
      <c r="E477" s="214"/>
      <c r="F477" s="204"/>
      <c r="G477" s="201"/>
      <c r="H477" s="214"/>
      <c r="I477" s="214"/>
      <c r="J477" s="214"/>
      <c r="K477" s="214"/>
      <c r="L477" s="214"/>
    </row>
    <row r="478" ht="13.5" customHeight="1" spans="1:12" x14ac:dyDescent="0.25">
      <c r="A478" s="211"/>
      <c r="B478" s="212"/>
      <c r="C478" s="213"/>
      <c r="D478" s="211"/>
      <c r="E478" s="214"/>
      <c r="F478" s="204"/>
      <c r="G478" s="201"/>
      <c r="H478" s="214"/>
      <c r="I478" s="214"/>
      <c r="J478" s="214"/>
      <c r="K478" s="214"/>
      <c r="L478" s="214"/>
    </row>
    <row r="479" ht="13.5" customHeight="1" spans="1:12" x14ac:dyDescent="0.25">
      <c r="A479" s="211"/>
      <c r="B479" s="212"/>
      <c r="C479" s="213"/>
      <c r="D479" s="211"/>
      <c r="E479" s="214"/>
      <c r="F479" s="204"/>
      <c r="G479" s="201"/>
      <c r="H479" s="214"/>
      <c r="I479" s="214"/>
      <c r="J479" s="214"/>
      <c r="K479" s="214"/>
      <c r="L479" s="214"/>
    </row>
    <row r="480" ht="13.5" customHeight="1" spans="1:12" x14ac:dyDescent="0.25">
      <c r="A480" s="211"/>
      <c r="B480" s="212"/>
      <c r="C480" s="213"/>
      <c r="D480" s="211"/>
      <c r="E480" s="214"/>
      <c r="F480" s="204"/>
      <c r="G480" s="201"/>
      <c r="H480" s="214"/>
      <c r="I480" s="214"/>
      <c r="J480" s="214"/>
      <c r="K480" s="214"/>
      <c r="L480" s="214"/>
    </row>
    <row r="481" ht="13.5" customHeight="1" spans="1:12" x14ac:dyDescent="0.25">
      <c r="A481" s="211"/>
      <c r="B481" s="212"/>
      <c r="C481" s="213"/>
      <c r="D481" s="211"/>
      <c r="E481" s="214"/>
      <c r="F481" s="204"/>
      <c r="G481" s="201"/>
      <c r="H481" s="214"/>
      <c r="I481" s="214"/>
      <c r="J481" s="214"/>
      <c r="K481" s="214"/>
      <c r="L481" s="214"/>
    </row>
    <row r="482" ht="13.5" customHeight="1" spans="1:12" x14ac:dyDescent="0.25">
      <c r="A482" s="211"/>
      <c r="B482" s="212"/>
      <c r="C482" s="213"/>
      <c r="D482" s="211"/>
      <c r="E482" s="214"/>
      <c r="F482" s="204"/>
      <c r="G482" s="201"/>
      <c r="H482" s="214"/>
      <c r="I482" s="214"/>
      <c r="J482" s="214"/>
      <c r="K482" s="214"/>
      <c r="L482" s="214"/>
    </row>
    <row r="483" ht="13.5" customHeight="1" spans="1:12" x14ac:dyDescent="0.25">
      <c r="A483" s="211"/>
      <c r="B483" s="212"/>
      <c r="C483" s="213"/>
      <c r="D483" s="211"/>
      <c r="E483" s="214"/>
      <c r="F483" s="204"/>
      <c r="G483" s="201"/>
      <c r="H483" s="214"/>
      <c r="I483" s="214"/>
      <c r="J483" s="214"/>
      <c r="K483" s="214"/>
      <c r="L483" s="214"/>
    </row>
    <row r="484" ht="13.5" customHeight="1" spans="1:12" x14ac:dyDescent="0.25">
      <c r="A484" s="211"/>
      <c r="B484" s="212"/>
      <c r="C484" s="213"/>
      <c r="D484" s="211"/>
      <c r="E484" s="214"/>
      <c r="F484" s="204"/>
      <c r="G484" s="201"/>
      <c r="H484" s="214"/>
      <c r="I484" s="214"/>
      <c r="J484" s="214"/>
      <c r="K484" s="214"/>
      <c r="L484" s="214"/>
    </row>
    <row r="485" ht="13.5" customHeight="1" spans="1:12" x14ac:dyDescent="0.25">
      <c r="A485" s="211"/>
      <c r="B485" s="212"/>
      <c r="C485" s="213"/>
      <c r="D485" s="211"/>
      <c r="E485" s="214"/>
      <c r="F485" s="204"/>
      <c r="G485" s="201"/>
      <c r="H485" s="214"/>
      <c r="I485" s="214"/>
      <c r="J485" s="214"/>
      <c r="K485" s="214"/>
      <c r="L485" s="214"/>
    </row>
    <row r="486" ht="13.5" customHeight="1" spans="1:12" x14ac:dyDescent="0.25">
      <c r="A486" s="211"/>
      <c r="B486" s="212"/>
      <c r="C486" s="213"/>
      <c r="D486" s="211"/>
      <c r="E486" s="214"/>
      <c r="F486" s="204"/>
      <c r="G486" s="201"/>
      <c r="H486" s="214"/>
      <c r="I486" s="214"/>
      <c r="J486" s="214"/>
      <c r="K486" s="214"/>
      <c r="L486" s="214"/>
    </row>
    <row r="487" ht="13.5" customHeight="1" spans="1:12" x14ac:dyDescent="0.25">
      <c r="A487" s="211"/>
      <c r="B487" s="212"/>
      <c r="C487" s="213"/>
      <c r="D487" s="211"/>
      <c r="E487" s="214"/>
      <c r="F487" s="204"/>
      <c r="G487" s="201"/>
      <c r="H487" s="214"/>
      <c r="I487" s="214"/>
      <c r="J487" s="214"/>
      <c r="K487" s="214"/>
      <c r="L487" s="214"/>
    </row>
    <row r="488" ht="13.5" customHeight="1" spans="1:12" x14ac:dyDescent="0.25">
      <c r="A488" s="211"/>
      <c r="B488" s="212"/>
      <c r="C488" s="213"/>
      <c r="D488" s="211"/>
      <c r="E488" s="214"/>
      <c r="F488" s="204"/>
      <c r="G488" s="201"/>
      <c r="H488" s="214"/>
      <c r="I488" s="214"/>
      <c r="J488" s="214"/>
      <c r="K488" s="214"/>
      <c r="L488" s="214"/>
    </row>
    <row r="489" ht="13.5" customHeight="1" spans="1:12" x14ac:dyDescent="0.25">
      <c r="A489" s="211"/>
      <c r="B489" s="212"/>
      <c r="C489" s="213"/>
      <c r="D489" s="211"/>
      <c r="E489" s="214"/>
      <c r="F489" s="204"/>
      <c r="G489" s="201"/>
      <c r="H489" s="214"/>
      <c r="I489" s="214"/>
      <c r="J489" s="214"/>
      <c r="K489" s="214"/>
      <c r="L489" s="214"/>
    </row>
    <row r="490" ht="13.5" customHeight="1" spans="1:12" x14ac:dyDescent="0.25">
      <c r="A490" s="211"/>
      <c r="B490" s="212"/>
      <c r="C490" s="213"/>
      <c r="D490" s="211"/>
      <c r="E490" s="214"/>
      <c r="F490" s="204"/>
      <c r="G490" s="201"/>
      <c r="H490" s="214"/>
      <c r="I490" s="214"/>
      <c r="J490" s="214"/>
      <c r="K490" s="214"/>
      <c r="L490" s="214"/>
    </row>
    <row r="491" ht="13.5" customHeight="1" spans="1:12" x14ac:dyDescent="0.25">
      <c r="A491" s="211"/>
      <c r="B491" s="212"/>
      <c r="C491" s="213"/>
      <c r="D491" s="211"/>
      <c r="E491" s="214"/>
      <c r="F491" s="204"/>
      <c r="G491" s="201"/>
      <c r="H491" s="214"/>
      <c r="I491" s="214"/>
      <c r="J491" s="214"/>
      <c r="K491" s="214"/>
      <c r="L491" s="214"/>
    </row>
    <row r="492" ht="13.5" customHeight="1" spans="1:12" x14ac:dyDescent="0.25">
      <c r="A492" s="211"/>
      <c r="B492" s="212"/>
      <c r="C492" s="213"/>
      <c r="D492" s="211"/>
      <c r="E492" s="214"/>
      <c r="F492" s="204"/>
      <c r="G492" s="201"/>
      <c r="H492" s="214"/>
      <c r="I492" s="214"/>
      <c r="J492" s="214"/>
      <c r="K492" s="214"/>
      <c r="L492" s="214"/>
    </row>
    <row r="493" ht="13.5" customHeight="1" spans="1:12" x14ac:dyDescent="0.25">
      <c r="A493" s="211"/>
      <c r="B493" s="212"/>
      <c r="C493" s="213"/>
      <c r="D493" s="211"/>
      <c r="E493" s="214"/>
      <c r="F493" s="204"/>
      <c r="G493" s="201"/>
      <c r="H493" s="214"/>
      <c r="I493" s="214"/>
      <c r="J493" s="214"/>
      <c r="K493" s="214"/>
      <c r="L493" s="214"/>
    </row>
    <row r="494" ht="13.5" customHeight="1" spans="1:12" x14ac:dyDescent="0.25">
      <c r="A494" s="211"/>
      <c r="B494" s="212"/>
      <c r="C494" s="213"/>
      <c r="D494" s="211"/>
      <c r="E494" s="214"/>
      <c r="F494" s="204"/>
      <c r="G494" s="201"/>
      <c r="H494" s="214"/>
      <c r="I494" s="214"/>
      <c r="J494" s="214"/>
      <c r="K494" s="214"/>
      <c r="L494" s="214"/>
    </row>
    <row r="495" ht="13.5" customHeight="1" spans="1:12" x14ac:dyDescent="0.25">
      <c r="A495" s="211"/>
      <c r="B495" s="212"/>
      <c r="C495" s="213"/>
      <c r="D495" s="211"/>
      <c r="E495" s="214"/>
      <c r="F495" s="204"/>
      <c r="G495" s="201"/>
      <c r="H495" s="214"/>
      <c r="I495" s="214"/>
      <c r="J495" s="214"/>
      <c r="K495" s="214"/>
      <c r="L495" s="214"/>
    </row>
    <row r="496" ht="13.5" customHeight="1" spans="1:12" x14ac:dyDescent="0.25">
      <c r="A496" s="211"/>
      <c r="B496" s="212"/>
      <c r="C496" s="213"/>
      <c r="D496" s="211"/>
      <c r="E496" s="214"/>
      <c r="F496" s="204"/>
      <c r="G496" s="201"/>
      <c r="H496" s="214"/>
      <c r="I496" s="214"/>
      <c r="J496" s="214"/>
      <c r="K496" s="214"/>
      <c r="L496" s="214"/>
    </row>
    <row r="497" ht="13.5" customHeight="1" spans="1:12" x14ac:dyDescent="0.25">
      <c r="A497" s="211"/>
      <c r="B497" s="212"/>
      <c r="C497" s="213"/>
      <c r="D497" s="211"/>
      <c r="E497" s="214"/>
      <c r="F497" s="204"/>
      <c r="G497" s="201"/>
      <c r="H497" s="214"/>
      <c r="I497" s="214"/>
      <c r="J497" s="214"/>
      <c r="K497" s="214"/>
      <c r="L497" s="214"/>
    </row>
    <row r="498" ht="13.5" customHeight="1" spans="1:12" x14ac:dyDescent="0.25">
      <c r="A498" s="211"/>
      <c r="B498" s="212"/>
      <c r="C498" s="213"/>
      <c r="D498" s="211"/>
      <c r="E498" s="214"/>
      <c r="F498" s="204"/>
      <c r="G498" s="201"/>
      <c r="H498" s="214"/>
      <c r="I498" s="214"/>
      <c r="J498" s="214"/>
      <c r="K498" s="214"/>
      <c r="L498" s="214"/>
    </row>
    <row r="499" ht="13.5" customHeight="1" spans="1:12" x14ac:dyDescent="0.25">
      <c r="A499" s="211"/>
      <c r="B499" s="212"/>
      <c r="C499" s="213"/>
      <c r="D499" s="211"/>
      <c r="E499" s="214"/>
      <c r="F499" s="204"/>
      <c r="G499" s="201"/>
      <c r="H499" s="214"/>
      <c r="I499" s="214"/>
      <c r="J499" s="214"/>
      <c r="K499" s="214"/>
      <c r="L499" s="214"/>
    </row>
    <row r="500" ht="13.5" customHeight="1" spans="1:12" x14ac:dyDescent="0.25">
      <c r="A500" s="211"/>
      <c r="B500" s="212"/>
      <c r="C500" s="213"/>
      <c r="D500" s="211"/>
      <c r="E500" s="214"/>
      <c r="F500" s="204"/>
      <c r="G500" s="201"/>
      <c r="H500" s="214"/>
      <c r="I500" s="214"/>
      <c r="J500" s="214"/>
      <c r="K500" s="214"/>
      <c r="L500" s="214"/>
    </row>
    <row r="501" ht="13.5" customHeight="1" spans="1:12" x14ac:dyDescent="0.25">
      <c r="A501" s="211"/>
      <c r="B501" s="212"/>
      <c r="C501" s="213"/>
      <c r="D501" s="211"/>
      <c r="E501" s="214"/>
      <c r="F501" s="204"/>
      <c r="G501" s="201"/>
      <c r="H501" s="214"/>
      <c r="I501" s="214"/>
      <c r="J501" s="214"/>
      <c r="K501" s="214"/>
      <c r="L501" s="214"/>
    </row>
    <row r="502" ht="13.5" customHeight="1" spans="1:12" x14ac:dyDescent="0.25">
      <c r="A502" s="211"/>
      <c r="B502" s="212"/>
      <c r="C502" s="213"/>
      <c r="D502" s="211"/>
      <c r="E502" s="214"/>
      <c r="F502" s="204"/>
      <c r="G502" s="201"/>
      <c r="H502" s="214"/>
      <c r="I502" s="214"/>
      <c r="J502" s="214"/>
      <c r="K502" s="214"/>
      <c r="L502" s="214"/>
    </row>
    <row r="503" ht="13.5" customHeight="1" spans="1:12" x14ac:dyDescent="0.25">
      <c r="A503" s="211"/>
      <c r="B503" s="212"/>
      <c r="C503" s="213"/>
      <c r="D503" s="211"/>
      <c r="E503" s="214"/>
      <c r="F503" s="204"/>
      <c r="G503" s="201"/>
      <c r="H503" s="214"/>
      <c r="I503" s="214"/>
      <c r="J503" s="214"/>
      <c r="K503" s="214"/>
      <c r="L503" s="214"/>
    </row>
    <row r="504" ht="13.5" customHeight="1" spans="1:12" x14ac:dyDescent="0.25">
      <c r="A504" s="211"/>
      <c r="B504" s="212"/>
      <c r="C504" s="213"/>
      <c r="D504" s="211"/>
      <c r="E504" s="214"/>
      <c r="F504" s="204"/>
      <c r="G504" s="201"/>
      <c r="H504" s="214"/>
      <c r="I504" s="214"/>
      <c r="J504" s="214"/>
      <c r="K504" s="214"/>
      <c r="L504" s="214"/>
    </row>
    <row r="505" ht="13.5" customHeight="1" spans="1:12" x14ac:dyDescent="0.25">
      <c r="A505" s="211"/>
      <c r="B505" s="212"/>
      <c r="C505" s="213"/>
      <c r="D505" s="211"/>
      <c r="E505" s="214"/>
      <c r="F505" s="204"/>
      <c r="G505" s="201"/>
      <c r="H505" s="214"/>
      <c r="I505" s="214"/>
      <c r="J505" s="214"/>
      <c r="K505" s="214"/>
      <c r="L505" s="214"/>
    </row>
    <row r="506" ht="13.5" customHeight="1" spans="1:12" x14ac:dyDescent="0.25">
      <c r="A506" s="211"/>
      <c r="B506" s="212"/>
      <c r="C506" s="213"/>
      <c r="D506" s="211"/>
      <c r="E506" s="214"/>
      <c r="F506" s="204"/>
      <c r="G506" s="201"/>
      <c r="H506" s="214"/>
      <c r="I506" s="214"/>
      <c r="J506" s="214"/>
      <c r="K506" s="214"/>
      <c r="L506" s="214"/>
    </row>
    <row r="507" ht="13.5" customHeight="1" spans="1:12" x14ac:dyDescent="0.25">
      <c r="A507" s="211"/>
      <c r="B507" s="212"/>
      <c r="C507" s="213"/>
      <c r="D507" s="211"/>
      <c r="E507" s="214"/>
      <c r="F507" s="204"/>
      <c r="G507" s="201"/>
      <c r="H507" s="214"/>
      <c r="I507" s="214"/>
      <c r="J507" s="214"/>
      <c r="K507" s="214"/>
      <c r="L507" s="214"/>
    </row>
    <row r="508" ht="13.5" customHeight="1" spans="1:12" x14ac:dyDescent="0.25">
      <c r="A508" s="211"/>
      <c r="B508" s="212"/>
      <c r="C508" s="213"/>
      <c r="D508" s="211"/>
      <c r="E508" s="214"/>
      <c r="F508" s="204"/>
      <c r="G508" s="201"/>
      <c r="H508" s="214"/>
      <c r="I508" s="214"/>
      <c r="J508" s="214"/>
      <c r="K508" s="214"/>
      <c r="L508" s="214"/>
    </row>
    <row r="509" ht="13.5" customHeight="1" spans="1:12" x14ac:dyDescent="0.25">
      <c r="A509" s="211"/>
      <c r="B509" s="212"/>
      <c r="C509" s="213"/>
      <c r="D509" s="211"/>
      <c r="E509" s="214"/>
      <c r="F509" s="204"/>
      <c r="G509" s="201"/>
      <c r="H509" s="214"/>
      <c r="I509" s="214"/>
      <c r="J509" s="214"/>
      <c r="K509" s="214"/>
      <c r="L509" s="214"/>
    </row>
    <row r="510" ht="13.5" customHeight="1" spans="1:12" x14ac:dyDescent="0.25">
      <c r="A510" s="211"/>
      <c r="B510" s="212"/>
      <c r="C510" s="213"/>
      <c r="D510" s="211"/>
      <c r="E510" s="214"/>
      <c r="F510" s="204"/>
      <c r="G510" s="201"/>
      <c r="H510" s="214"/>
      <c r="I510" s="214"/>
      <c r="J510" s="214"/>
      <c r="K510" s="214"/>
      <c r="L510" s="214"/>
    </row>
    <row r="511" ht="13.5" customHeight="1" spans="1:12" x14ac:dyDescent="0.25">
      <c r="A511" s="211"/>
      <c r="B511" s="212"/>
      <c r="C511" s="213"/>
      <c r="D511" s="211"/>
      <c r="E511" s="214"/>
      <c r="F511" s="204"/>
      <c r="G511" s="201"/>
      <c r="H511" s="214"/>
      <c r="I511" s="214"/>
      <c r="J511" s="214"/>
      <c r="K511" s="214"/>
      <c r="L511" s="214"/>
    </row>
    <row r="512" ht="13.5" customHeight="1" spans="1:12" x14ac:dyDescent="0.25">
      <c r="A512" s="211"/>
      <c r="B512" s="212"/>
      <c r="C512" s="213"/>
      <c r="D512" s="211"/>
      <c r="E512" s="214"/>
      <c r="F512" s="204"/>
      <c r="G512" s="201"/>
      <c r="H512" s="214"/>
      <c r="I512" s="214"/>
      <c r="J512" s="214"/>
      <c r="K512" s="214"/>
      <c r="L512" s="214"/>
    </row>
    <row r="513" ht="13.5" customHeight="1" spans="1:12" x14ac:dyDescent="0.25">
      <c r="A513" s="211"/>
      <c r="B513" s="212"/>
      <c r="C513" s="213"/>
      <c r="D513" s="211"/>
      <c r="E513" s="214"/>
      <c r="F513" s="204"/>
      <c r="G513" s="201"/>
      <c r="H513" s="214"/>
      <c r="I513" s="214"/>
      <c r="J513" s="214"/>
      <c r="K513" s="214"/>
      <c r="L513" s="214"/>
    </row>
    <row r="514" ht="13.5" customHeight="1" spans="1:12" x14ac:dyDescent="0.25">
      <c r="A514" s="211"/>
      <c r="B514" s="212"/>
      <c r="C514" s="213"/>
      <c r="D514" s="211"/>
      <c r="E514" s="214"/>
      <c r="F514" s="204"/>
      <c r="G514" s="201"/>
      <c r="H514" s="214"/>
      <c r="I514" s="214"/>
      <c r="J514" s="214"/>
      <c r="K514" s="214"/>
      <c r="L514" s="214"/>
    </row>
    <row r="515" ht="13.5" customHeight="1" spans="1:12" x14ac:dyDescent="0.25">
      <c r="A515" s="211"/>
      <c r="B515" s="212"/>
      <c r="C515" s="213"/>
      <c r="D515" s="211"/>
      <c r="E515" s="214"/>
      <c r="F515" s="204"/>
      <c r="G515" s="201"/>
      <c r="H515" s="214"/>
      <c r="I515" s="214"/>
      <c r="J515" s="214"/>
      <c r="K515" s="214"/>
      <c r="L515" s="214"/>
    </row>
    <row r="516" ht="13.5" customHeight="1" spans="1:12" x14ac:dyDescent="0.25">
      <c r="A516" s="211"/>
      <c r="B516" s="212"/>
      <c r="C516" s="213"/>
      <c r="D516" s="211"/>
      <c r="E516" s="214"/>
      <c r="F516" s="204"/>
      <c r="G516" s="201"/>
      <c r="H516" s="214"/>
      <c r="I516" s="214"/>
      <c r="J516" s="214"/>
      <c r="K516" s="214"/>
      <c r="L516" s="214"/>
    </row>
    <row r="517" ht="13.5" customHeight="1" spans="1:12" x14ac:dyDescent="0.25">
      <c r="A517" s="211"/>
      <c r="B517" s="212"/>
      <c r="C517" s="213"/>
      <c r="D517" s="211"/>
      <c r="E517" s="214"/>
      <c r="F517" s="204"/>
      <c r="G517" s="201"/>
      <c r="H517" s="214"/>
      <c r="I517" s="214"/>
      <c r="J517" s="214"/>
      <c r="K517" s="214"/>
      <c r="L517" s="214"/>
    </row>
    <row r="518" ht="13.5" customHeight="1" spans="1:12" x14ac:dyDescent="0.25">
      <c r="A518" s="211"/>
      <c r="B518" s="212"/>
      <c r="C518" s="213"/>
      <c r="D518" s="211"/>
      <c r="E518" s="214"/>
      <c r="F518" s="204"/>
      <c r="G518" s="201"/>
      <c r="H518" s="214"/>
      <c r="I518" s="214"/>
      <c r="J518" s="214"/>
      <c r="K518" s="214"/>
      <c r="L518" s="214"/>
    </row>
    <row r="519" ht="13.5" customHeight="1" spans="1:12" x14ac:dyDescent="0.25">
      <c r="A519" s="211"/>
      <c r="B519" s="212"/>
      <c r="C519" s="213"/>
      <c r="D519" s="211"/>
      <c r="E519" s="214"/>
      <c r="F519" s="204"/>
      <c r="G519" s="201"/>
      <c r="H519" s="214"/>
      <c r="I519" s="214"/>
      <c r="J519" s="214"/>
      <c r="K519" s="214"/>
      <c r="L519" s="214"/>
    </row>
    <row r="520" ht="13.5" customHeight="1" spans="1:12" x14ac:dyDescent="0.25">
      <c r="A520" s="211"/>
      <c r="B520" s="212"/>
      <c r="C520" s="213"/>
      <c r="D520" s="211"/>
      <c r="E520" s="214"/>
      <c r="F520" s="204"/>
      <c r="G520" s="201"/>
      <c r="H520" s="214"/>
      <c r="I520" s="214"/>
      <c r="J520" s="214"/>
      <c r="K520" s="214"/>
      <c r="L520" s="214"/>
    </row>
    <row r="521" ht="13.5" customHeight="1" spans="1:12" x14ac:dyDescent="0.25">
      <c r="A521" s="211"/>
      <c r="B521" s="212"/>
      <c r="C521" s="213"/>
      <c r="D521" s="211"/>
      <c r="E521" s="214"/>
      <c r="F521" s="204"/>
      <c r="G521" s="201"/>
      <c r="H521" s="214"/>
      <c r="I521" s="214"/>
      <c r="J521" s="214"/>
      <c r="K521" s="214"/>
      <c r="L521" s="214"/>
    </row>
    <row r="522" ht="13.5" customHeight="1" spans="1:12" x14ac:dyDescent="0.25">
      <c r="A522" s="211"/>
      <c r="B522" s="212"/>
      <c r="C522" s="213"/>
      <c r="D522" s="211"/>
      <c r="E522" s="214"/>
      <c r="F522" s="204"/>
      <c r="G522" s="201"/>
      <c r="H522" s="214"/>
      <c r="I522" s="214"/>
      <c r="J522" s="214"/>
      <c r="K522" s="214"/>
      <c r="L522" s="214"/>
    </row>
    <row r="523" ht="13.5" customHeight="1" spans="1:12" x14ac:dyDescent="0.25">
      <c r="A523" s="211"/>
      <c r="B523" s="212"/>
      <c r="C523" s="213"/>
      <c r="D523" s="211"/>
      <c r="E523" s="214"/>
      <c r="F523" s="204"/>
      <c r="G523" s="201"/>
      <c r="H523" s="214"/>
      <c r="I523" s="214"/>
      <c r="J523" s="214"/>
      <c r="K523" s="214"/>
      <c r="L523" s="214"/>
    </row>
    <row r="524" ht="13.5" customHeight="1" spans="1:12" x14ac:dyDescent="0.25">
      <c r="A524" s="211"/>
      <c r="B524" s="212"/>
      <c r="C524" s="213"/>
      <c r="D524" s="211"/>
      <c r="E524" s="214"/>
      <c r="F524" s="204"/>
      <c r="G524" s="201"/>
      <c r="H524" s="214"/>
      <c r="I524" s="214"/>
      <c r="J524" s="214"/>
      <c r="K524" s="214"/>
      <c r="L524" s="214"/>
    </row>
    <row r="525" ht="13.5" customHeight="1" spans="1:12" x14ac:dyDescent="0.25">
      <c r="A525" s="211"/>
      <c r="B525" s="212"/>
      <c r="C525" s="213"/>
      <c r="D525" s="211"/>
      <c r="E525" s="214"/>
      <c r="F525" s="204"/>
      <c r="G525" s="201"/>
      <c r="H525" s="214"/>
      <c r="I525" s="214"/>
      <c r="J525" s="214"/>
      <c r="K525" s="214"/>
      <c r="L525" s="214"/>
    </row>
    <row r="526" ht="13.5" customHeight="1" spans="1:12" x14ac:dyDescent="0.25">
      <c r="A526" s="211"/>
      <c r="B526" s="212"/>
      <c r="C526" s="213"/>
      <c r="D526" s="211"/>
      <c r="E526" s="214"/>
      <c r="F526" s="204"/>
      <c r="G526" s="201"/>
      <c r="H526" s="214"/>
      <c r="I526" s="214"/>
      <c r="J526" s="214"/>
      <c r="K526" s="214"/>
      <c r="L526" s="214"/>
    </row>
    <row r="527" ht="13.5" customHeight="1" spans="1:12" x14ac:dyDescent="0.25">
      <c r="A527" s="211"/>
      <c r="B527" s="212"/>
      <c r="C527" s="213"/>
      <c r="D527" s="211"/>
      <c r="E527" s="214"/>
      <c r="F527" s="204"/>
      <c r="G527" s="201"/>
      <c r="H527" s="214"/>
      <c r="I527" s="214"/>
      <c r="J527" s="214"/>
      <c r="K527" s="214"/>
      <c r="L527" s="214"/>
    </row>
    <row r="528" ht="13.5" customHeight="1" spans="1:12" x14ac:dyDescent="0.25">
      <c r="A528" s="211"/>
      <c r="B528" s="212"/>
      <c r="C528" s="213"/>
      <c r="D528" s="211"/>
      <c r="E528" s="214"/>
      <c r="F528" s="204"/>
      <c r="G528" s="201"/>
      <c r="H528" s="214"/>
      <c r="I528" s="214"/>
      <c r="J528" s="214"/>
      <c r="K528" s="214"/>
      <c r="L528" s="214"/>
    </row>
    <row r="529" ht="13.5" customHeight="1" spans="1:12" x14ac:dyDescent="0.25">
      <c r="A529" s="211"/>
      <c r="B529" s="212"/>
      <c r="C529" s="213"/>
      <c r="D529" s="211"/>
      <c r="E529" s="214"/>
      <c r="F529" s="204"/>
      <c r="G529" s="201"/>
      <c r="H529" s="214"/>
      <c r="I529" s="214"/>
      <c r="J529" s="214"/>
      <c r="K529" s="214"/>
      <c r="L529" s="214"/>
    </row>
    <row r="530" ht="13.5" customHeight="1" spans="1:12" x14ac:dyDescent="0.25">
      <c r="A530" s="211"/>
      <c r="B530" s="212"/>
      <c r="C530" s="213"/>
      <c r="D530" s="211"/>
      <c r="E530" s="214"/>
      <c r="F530" s="204"/>
      <c r="G530" s="201"/>
      <c r="H530" s="214"/>
      <c r="I530" s="214"/>
      <c r="J530" s="214"/>
      <c r="K530" s="214"/>
      <c r="L530" s="214"/>
    </row>
    <row r="531" ht="13.5" customHeight="1" spans="1:12" x14ac:dyDescent="0.25">
      <c r="A531" s="211"/>
      <c r="B531" s="212"/>
      <c r="C531" s="213"/>
      <c r="D531" s="211"/>
      <c r="E531" s="214"/>
      <c r="F531" s="204"/>
      <c r="G531" s="201"/>
      <c r="H531" s="214"/>
      <c r="I531" s="214"/>
      <c r="J531" s="214"/>
      <c r="K531" s="214"/>
      <c r="L531" s="214"/>
    </row>
    <row r="532" ht="13.5" customHeight="1" spans="1:12" x14ac:dyDescent="0.25">
      <c r="A532" s="211"/>
      <c r="B532" s="212"/>
      <c r="C532" s="213"/>
      <c r="D532" s="211"/>
      <c r="E532" s="214"/>
      <c r="F532" s="204"/>
      <c r="G532" s="201"/>
      <c r="H532" s="214"/>
      <c r="I532" s="214"/>
      <c r="J532" s="214"/>
      <c r="K532" s="214"/>
      <c r="L532" s="214"/>
    </row>
    <row r="533" ht="13.5" customHeight="1" spans="1:12" x14ac:dyDescent="0.25">
      <c r="A533" s="211"/>
      <c r="B533" s="212"/>
      <c r="C533" s="213"/>
      <c r="D533" s="211"/>
      <c r="E533" s="214"/>
      <c r="F533" s="204"/>
      <c r="G533" s="201"/>
      <c r="H533" s="214"/>
      <c r="I533" s="214"/>
      <c r="J533" s="214"/>
      <c r="K533" s="214"/>
      <c r="L533" s="214"/>
    </row>
    <row r="534" ht="13.5" customHeight="1" spans="1:12" x14ac:dyDescent="0.25">
      <c r="A534" s="211"/>
      <c r="B534" s="212"/>
      <c r="C534" s="213"/>
      <c r="D534" s="211"/>
      <c r="E534" s="214"/>
      <c r="F534" s="204"/>
      <c r="G534" s="201"/>
      <c r="H534" s="214"/>
      <c r="I534" s="214"/>
      <c r="J534" s="214"/>
      <c r="K534" s="214"/>
      <c r="L534" s="214"/>
    </row>
    <row r="535" ht="13.5" customHeight="1" spans="1:12" x14ac:dyDescent="0.25">
      <c r="A535" s="211"/>
      <c r="B535" s="212"/>
      <c r="C535" s="213"/>
      <c r="D535" s="211"/>
      <c r="E535" s="214"/>
      <c r="F535" s="204"/>
      <c r="G535" s="201"/>
      <c r="H535" s="214"/>
      <c r="I535" s="214"/>
      <c r="J535" s="214"/>
      <c r="K535" s="214"/>
      <c r="L535" s="214"/>
    </row>
    <row r="536" ht="13.5" customHeight="1" spans="1:12" x14ac:dyDescent="0.25">
      <c r="A536" s="211"/>
      <c r="B536" s="212"/>
      <c r="C536" s="213"/>
      <c r="D536" s="211"/>
      <c r="E536" s="214"/>
      <c r="F536" s="204"/>
      <c r="G536" s="201"/>
      <c r="H536" s="214"/>
      <c r="I536" s="214"/>
      <c r="J536" s="214"/>
      <c r="K536" s="214"/>
      <c r="L536" s="214"/>
    </row>
    <row r="537" ht="13.5" customHeight="1" spans="1:12" x14ac:dyDescent="0.25">
      <c r="A537" s="211"/>
      <c r="B537" s="212"/>
      <c r="C537" s="213"/>
      <c r="D537" s="211"/>
      <c r="E537" s="214"/>
      <c r="F537" s="204"/>
      <c r="G537" s="201"/>
      <c r="H537" s="214"/>
      <c r="I537" s="214"/>
      <c r="J537" s="214"/>
      <c r="K537" s="214"/>
      <c r="L537" s="214"/>
    </row>
    <row r="538" ht="13.5" customHeight="1" spans="1:12" x14ac:dyDescent="0.25">
      <c r="A538" s="211"/>
      <c r="B538" s="212"/>
      <c r="C538" s="213"/>
      <c r="D538" s="211"/>
      <c r="E538" s="214"/>
      <c r="F538" s="204"/>
      <c r="G538" s="201"/>
      <c r="H538" s="214"/>
      <c r="I538" s="214"/>
      <c r="J538" s="214"/>
      <c r="K538" s="214"/>
      <c r="L538" s="214"/>
    </row>
    <row r="539" ht="13.5" customHeight="1" spans="1:12" x14ac:dyDescent="0.25">
      <c r="A539" s="211"/>
      <c r="B539" s="212"/>
      <c r="C539" s="213"/>
      <c r="D539" s="211"/>
      <c r="E539" s="214"/>
      <c r="F539" s="204"/>
      <c r="G539" s="201"/>
      <c r="H539" s="214"/>
      <c r="I539" s="214"/>
      <c r="J539" s="214"/>
      <c r="K539" s="214"/>
      <c r="L539" s="214"/>
    </row>
    <row r="540" ht="13.5" customHeight="1" spans="1:12" x14ac:dyDescent="0.25">
      <c r="A540" s="211"/>
      <c r="B540" s="212"/>
      <c r="C540" s="213"/>
      <c r="D540" s="211"/>
      <c r="E540" s="214"/>
      <c r="F540" s="204"/>
      <c r="G540" s="201"/>
      <c r="H540" s="214"/>
      <c r="I540" s="214"/>
      <c r="J540" s="214"/>
      <c r="K540" s="214"/>
      <c r="L540" s="214"/>
    </row>
    <row r="541" ht="13.5" customHeight="1" spans="1:12" x14ac:dyDescent="0.25">
      <c r="A541" s="211"/>
      <c r="B541" s="212"/>
      <c r="C541" s="213"/>
      <c r="D541" s="211"/>
      <c r="E541" s="214"/>
      <c r="F541" s="204"/>
      <c r="G541" s="201"/>
      <c r="H541" s="214"/>
      <c r="I541" s="214"/>
      <c r="J541" s="214"/>
      <c r="K541" s="214"/>
      <c r="L541" s="214"/>
    </row>
    <row r="542" ht="13.5" customHeight="1" spans="1:12" x14ac:dyDescent="0.25">
      <c r="A542" s="211"/>
      <c r="B542" s="212"/>
      <c r="C542" s="213"/>
      <c r="D542" s="211"/>
      <c r="E542" s="214"/>
      <c r="F542" s="204"/>
      <c r="G542" s="201"/>
      <c r="H542" s="214"/>
      <c r="I542" s="214"/>
      <c r="J542" s="214"/>
      <c r="K542" s="214"/>
      <c r="L542" s="214"/>
    </row>
    <row r="543" ht="13.5" customHeight="1" spans="1:12" x14ac:dyDescent="0.25">
      <c r="A543" s="211"/>
      <c r="B543" s="212"/>
      <c r="C543" s="213"/>
      <c r="D543" s="211"/>
      <c r="E543" s="214"/>
      <c r="F543" s="204"/>
      <c r="G543" s="201"/>
      <c r="H543" s="214"/>
      <c r="I543" s="214"/>
      <c r="J543" s="214"/>
      <c r="K543" s="214"/>
      <c r="L543" s="214"/>
    </row>
    <row r="544" ht="13.5" customHeight="1" spans="1:12" x14ac:dyDescent="0.25">
      <c r="A544" s="211"/>
      <c r="B544" s="212"/>
      <c r="C544" s="213"/>
      <c r="D544" s="211"/>
      <c r="E544" s="214"/>
      <c r="F544" s="204"/>
      <c r="G544" s="201"/>
      <c r="H544" s="214"/>
      <c r="I544" s="214"/>
      <c r="J544" s="214"/>
      <c r="K544" s="214"/>
      <c r="L544" s="214"/>
    </row>
    <row r="545" ht="13.5" customHeight="1" spans="1:12" x14ac:dyDescent="0.25">
      <c r="A545" s="211"/>
      <c r="B545" s="212"/>
      <c r="C545" s="213"/>
      <c r="D545" s="211"/>
      <c r="E545" s="214"/>
      <c r="F545" s="204"/>
      <c r="G545" s="201"/>
      <c r="H545" s="214"/>
      <c r="I545" s="214"/>
      <c r="J545" s="214"/>
      <c r="K545" s="214"/>
      <c r="L545" s="214"/>
    </row>
    <row r="546" ht="13.5" customHeight="1" spans="1:12" x14ac:dyDescent="0.25">
      <c r="A546" s="211"/>
      <c r="B546" s="212"/>
      <c r="C546" s="213"/>
      <c r="D546" s="211"/>
      <c r="E546" s="214"/>
      <c r="F546" s="204"/>
      <c r="G546" s="201"/>
      <c r="H546" s="214"/>
      <c r="I546" s="214"/>
      <c r="J546" s="214"/>
      <c r="K546" s="214"/>
      <c r="L546" s="214"/>
    </row>
    <row r="547" ht="13.5" customHeight="1" spans="1:12" x14ac:dyDescent="0.25">
      <c r="A547" s="211"/>
      <c r="B547" s="212"/>
      <c r="C547" s="213"/>
      <c r="D547" s="211"/>
      <c r="E547" s="214"/>
      <c r="F547" s="204"/>
      <c r="G547" s="201"/>
      <c r="H547" s="214"/>
      <c r="I547" s="214"/>
      <c r="J547" s="214"/>
      <c r="K547" s="214"/>
      <c r="L547" s="214"/>
    </row>
    <row r="548" ht="13.5" customHeight="1" spans="1:12" x14ac:dyDescent="0.25">
      <c r="A548" s="211"/>
      <c r="B548" s="212"/>
      <c r="C548" s="213"/>
      <c r="D548" s="211"/>
      <c r="E548" s="214"/>
      <c r="F548" s="204"/>
      <c r="G548" s="201"/>
      <c r="H548" s="214"/>
      <c r="I548" s="214"/>
      <c r="J548" s="214"/>
      <c r="K548" s="214"/>
      <c r="L548" s="214"/>
    </row>
    <row r="549" ht="13.5" customHeight="1" spans="1:12" x14ac:dyDescent="0.25">
      <c r="A549" s="211"/>
      <c r="B549" s="212"/>
      <c r="C549" s="213"/>
      <c r="D549" s="211"/>
      <c r="E549" s="214"/>
      <c r="F549" s="204"/>
      <c r="G549" s="201"/>
      <c r="H549" s="214"/>
      <c r="I549" s="214"/>
      <c r="J549" s="214"/>
      <c r="K549" s="214"/>
      <c r="L549" s="214"/>
    </row>
    <row r="550" ht="13.5" customHeight="1" spans="1:12" x14ac:dyDescent="0.25">
      <c r="A550" s="211"/>
      <c r="B550" s="212"/>
      <c r="C550" s="213"/>
      <c r="D550" s="211"/>
      <c r="E550" s="214"/>
      <c r="F550" s="204"/>
      <c r="G550" s="201"/>
      <c r="H550" s="214"/>
      <c r="I550" s="214"/>
      <c r="J550" s="214"/>
      <c r="K550" s="214"/>
      <c r="L550" s="214"/>
    </row>
    <row r="551" ht="13.5" customHeight="1" spans="1:12" x14ac:dyDescent="0.25">
      <c r="A551" s="211"/>
      <c r="B551" s="212"/>
      <c r="C551" s="213"/>
      <c r="D551" s="211"/>
      <c r="E551" s="214"/>
      <c r="F551" s="204"/>
      <c r="G551" s="201"/>
      <c r="H551" s="214"/>
      <c r="I551" s="214"/>
      <c r="J551" s="214"/>
      <c r="K551" s="214"/>
      <c r="L551" s="214"/>
    </row>
    <row r="552" ht="13.5" customHeight="1" spans="1:12" x14ac:dyDescent="0.25">
      <c r="A552" s="211"/>
      <c r="B552" s="212"/>
      <c r="C552" s="213"/>
      <c r="D552" s="211"/>
      <c r="E552" s="214"/>
      <c r="F552" s="204"/>
      <c r="G552" s="201"/>
      <c r="H552" s="214"/>
      <c r="I552" s="214"/>
      <c r="J552" s="214"/>
      <c r="K552" s="214"/>
      <c r="L552" s="214"/>
    </row>
    <row r="553" ht="13.5" customHeight="1" spans="1:12" x14ac:dyDescent="0.25">
      <c r="A553" s="211"/>
      <c r="B553" s="212"/>
      <c r="C553" s="213"/>
      <c r="D553" s="211"/>
      <c r="E553" s="214"/>
      <c r="F553" s="204"/>
      <c r="G553" s="201"/>
      <c r="H553" s="214"/>
      <c r="I553" s="214"/>
      <c r="J553" s="214"/>
      <c r="K553" s="214"/>
      <c r="L553" s="214"/>
    </row>
    <row r="554" ht="13.5" customHeight="1" spans="1:12" x14ac:dyDescent="0.25">
      <c r="A554" s="211"/>
      <c r="B554" s="212"/>
      <c r="C554" s="213"/>
      <c r="D554" s="211"/>
      <c r="E554" s="214"/>
      <c r="F554" s="204"/>
      <c r="G554" s="201"/>
      <c r="H554" s="214"/>
      <c r="I554" s="214"/>
      <c r="J554" s="214"/>
      <c r="K554" s="214"/>
      <c r="L554" s="214"/>
    </row>
    <row r="555" ht="13.5" customHeight="1" spans="1:12" x14ac:dyDescent="0.25">
      <c r="A555" s="211"/>
      <c r="B555" s="212"/>
      <c r="C555" s="213"/>
      <c r="D555" s="211"/>
      <c r="E555" s="214"/>
      <c r="F555" s="204"/>
      <c r="G555" s="201"/>
      <c r="H555" s="214"/>
      <c r="I555" s="214"/>
      <c r="J555" s="214"/>
      <c r="K555" s="214"/>
      <c r="L555" s="214"/>
    </row>
    <row r="556" ht="13.5" customHeight="1" spans="1:12" x14ac:dyDescent="0.25">
      <c r="A556" s="211"/>
      <c r="B556" s="212"/>
      <c r="C556" s="213"/>
      <c r="D556" s="211"/>
      <c r="E556" s="214"/>
      <c r="F556" s="204"/>
      <c r="G556" s="201"/>
      <c r="H556" s="214"/>
      <c r="I556" s="214"/>
      <c r="J556" s="214"/>
      <c r="K556" s="214"/>
      <c r="L556" s="214"/>
    </row>
    <row r="557" ht="13.5" customHeight="1" spans="1:12" x14ac:dyDescent="0.25">
      <c r="A557" s="211"/>
      <c r="B557" s="212"/>
      <c r="C557" s="213"/>
      <c r="D557" s="211"/>
      <c r="E557" s="214"/>
      <c r="F557" s="204"/>
      <c r="G557" s="201"/>
      <c r="H557" s="214"/>
      <c r="I557" s="214"/>
      <c r="J557" s="214"/>
      <c r="K557" s="214"/>
      <c r="L557" s="214"/>
    </row>
    <row r="558" ht="13.5" customHeight="1" spans="1:12" x14ac:dyDescent="0.25">
      <c r="A558" s="211"/>
      <c r="B558" s="212"/>
      <c r="C558" s="213"/>
      <c r="D558" s="211"/>
      <c r="E558" s="214"/>
      <c r="F558" s="204"/>
      <c r="G558" s="201"/>
      <c r="H558" s="214"/>
      <c r="I558" s="214"/>
      <c r="J558" s="214"/>
      <c r="K558" s="214"/>
      <c r="L558" s="214"/>
    </row>
    <row r="559" ht="13.5" customHeight="1" spans="1:12" x14ac:dyDescent="0.25">
      <c r="A559" s="211"/>
      <c r="B559" s="212"/>
      <c r="C559" s="213"/>
      <c r="D559" s="211"/>
      <c r="E559" s="214"/>
      <c r="F559" s="204"/>
      <c r="G559" s="201"/>
      <c r="H559" s="214"/>
      <c r="I559" s="214"/>
      <c r="J559" s="214"/>
      <c r="K559" s="214"/>
      <c r="L559" s="214"/>
    </row>
    <row r="560" ht="13.5" customHeight="1" spans="1:12" x14ac:dyDescent="0.25">
      <c r="A560" s="211"/>
      <c r="B560" s="212"/>
      <c r="C560" s="213"/>
      <c r="D560" s="211"/>
      <c r="E560" s="214"/>
      <c r="F560" s="204"/>
      <c r="G560" s="201"/>
      <c r="H560" s="214"/>
      <c r="I560" s="214"/>
      <c r="J560" s="214"/>
      <c r="K560" s="214"/>
      <c r="L560" s="214"/>
    </row>
    <row r="561" ht="13.5" customHeight="1" spans="1:12" x14ac:dyDescent="0.25">
      <c r="A561" s="211"/>
      <c r="B561" s="212"/>
      <c r="C561" s="213"/>
      <c r="D561" s="211"/>
      <c r="E561" s="214"/>
      <c r="F561" s="204"/>
      <c r="G561" s="201"/>
      <c r="H561" s="214"/>
      <c r="I561" s="214"/>
      <c r="J561" s="214"/>
      <c r="K561" s="214"/>
      <c r="L561" s="214"/>
    </row>
    <row r="562" ht="13.5" customHeight="1" spans="1:12" x14ac:dyDescent="0.25">
      <c r="A562" s="211"/>
      <c r="B562" s="212"/>
      <c r="C562" s="213"/>
      <c r="D562" s="211"/>
      <c r="E562" s="214"/>
      <c r="F562" s="204"/>
      <c r="G562" s="201"/>
      <c r="H562" s="214"/>
      <c r="I562" s="214"/>
      <c r="J562" s="214"/>
      <c r="K562" s="214"/>
      <c r="L562" s="214"/>
    </row>
    <row r="563" ht="13.5" customHeight="1" spans="1:12" x14ac:dyDescent="0.25">
      <c r="A563" s="211"/>
      <c r="B563" s="212"/>
      <c r="C563" s="213"/>
      <c r="D563" s="211"/>
      <c r="E563" s="214"/>
      <c r="F563" s="204"/>
      <c r="G563" s="201"/>
      <c r="H563" s="214"/>
      <c r="I563" s="214"/>
      <c r="J563" s="214"/>
      <c r="K563" s="214"/>
      <c r="L563" s="214"/>
    </row>
    <row r="564" ht="13.5" customHeight="1" spans="1:12" x14ac:dyDescent="0.25">
      <c r="A564" s="211"/>
      <c r="B564" s="212"/>
      <c r="C564" s="213"/>
      <c r="D564" s="211"/>
      <c r="E564" s="214"/>
      <c r="F564" s="204"/>
      <c r="G564" s="201"/>
      <c r="H564" s="214"/>
      <c r="I564" s="214"/>
      <c r="J564" s="214"/>
      <c r="K564" s="214"/>
      <c r="L564" s="214"/>
    </row>
    <row r="565" ht="13.5" customHeight="1" spans="1:12" x14ac:dyDescent="0.25">
      <c r="A565" s="211"/>
      <c r="B565" s="212"/>
      <c r="C565" s="213"/>
      <c r="D565" s="211"/>
      <c r="E565" s="214"/>
      <c r="F565" s="204"/>
      <c r="G565" s="201"/>
      <c r="H565" s="214"/>
      <c r="I565" s="214"/>
      <c r="J565" s="214"/>
      <c r="K565" s="214"/>
      <c r="L565" s="214"/>
    </row>
    <row r="566" ht="13.5" customHeight="1" spans="1:12" x14ac:dyDescent="0.25">
      <c r="A566" s="211"/>
      <c r="B566" s="212"/>
      <c r="C566" s="213"/>
      <c r="D566" s="211"/>
      <c r="E566" s="214"/>
      <c r="F566" s="204"/>
      <c r="G566" s="201"/>
      <c r="H566" s="214"/>
      <c r="I566" s="214"/>
      <c r="J566" s="214"/>
      <c r="K566" s="214"/>
      <c r="L566" s="214"/>
    </row>
    <row r="567" ht="13.5" customHeight="1" spans="1:12" x14ac:dyDescent="0.25">
      <c r="A567" s="211"/>
      <c r="B567" s="212"/>
      <c r="C567" s="213"/>
      <c r="D567" s="211"/>
      <c r="E567" s="214"/>
      <c r="F567" s="204"/>
      <c r="G567" s="201"/>
      <c r="H567" s="214"/>
      <c r="I567" s="214"/>
      <c r="J567" s="214"/>
      <c r="K567" s="214"/>
      <c r="L567" s="214"/>
    </row>
    <row r="568" ht="13.5" customHeight="1" spans="1:12" x14ac:dyDescent="0.25">
      <c r="A568" s="211"/>
      <c r="B568" s="212"/>
      <c r="C568" s="213"/>
      <c r="D568" s="211"/>
      <c r="E568" s="214"/>
      <c r="F568" s="204"/>
      <c r="G568" s="201"/>
      <c r="H568" s="214"/>
      <c r="I568" s="214"/>
      <c r="J568" s="214"/>
      <c r="K568" s="214"/>
      <c r="L568" s="214"/>
    </row>
    <row r="569" ht="13.5" customHeight="1" spans="1:12" x14ac:dyDescent="0.25">
      <c r="A569" s="211"/>
      <c r="B569" s="212"/>
      <c r="C569" s="213"/>
      <c r="D569" s="211"/>
      <c r="E569" s="214"/>
      <c r="F569" s="204"/>
      <c r="G569" s="201"/>
      <c r="H569" s="214"/>
      <c r="I569" s="214"/>
      <c r="J569" s="214"/>
      <c r="K569" s="214"/>
      <c r="L569" s="214"/>
    </row>
    <row r="570" ht="13.5" customHeight="1" spans="1:12" x14ac:dyDescent="0.25">
      <c r="A570" s="211"/>
      <c r="B570" s="212"/>
      <c r="C570" s="213"/>
      <c r="D570" s="211"/>
      <c r="E570" s="214"/>
      <c r="F570" s="204"/>
      <c r="G570" s="201"/>
      <c r="H570" s="214"/>
      <c r="I570" s="214"/>
      <c r="J570" s="214"/>
      <c r="K570" s="214"/>
      <c r="L570" s="214"/>
    </row>
    <row r="571" ht="13.5" customHeight="1" spans="1:12" x14ac:dyDescent="0.25">
      <c r="A571" s="211"/>
      <c r="B571" s="212"/>
      <c r="C571" s="213"/>
      <c r="D571" s="211"/>
      <c r="E571" s="214"/>
      <c r="F571" s="204"/>
      <c r="G571" s="201"/>
      <c r="H571" s="214"/>
      <c r="I571" s="214"/>
      <c r="J571" s="214"/>
      <c r="K571" s="214"/>
      <c r="L571" s="214"/>
    </row>
    <row r="572" ht="13.5" customHeight="1" spans="1:12" x14ac:dyDescent="0.25">
      <c r="A572" s="211"/>
      <c r="B572" s="212"/>
      <c r="C572" s="213"/>
      <c r="D572" s="211"/>
      <c r="E572" s="214"/>
      <c r="F572" s="204"/>
      <c r="G572" s="201"/>
      <c r="H572" s="214"/>
      <c r="I572" s="214"/>
      <c r="J572" s="214"/>
      <c r="K572" s="214"/>
      <c r="L572" s="214"/>
    </row>
    <row r="573" ht="13.5" customHeight="1" spans="1:12" x14ac:dyDescent="0.25">
      <c r="A573" s="211"/>
      <c r="B573" s="212"/>
      <c r="C573" s="213"/>
      <c r="D573" s="211"/>
      <c r="E573" s="214"/>
      <c r="F573" s="204"/>
      <c r="G573" s="201"/>
      <c r="H573" s="214"/>
      <c r="I573" s="214"/>
      <c r="J573" s="214"/>
      <c r="K573" s="214"/>
      <c r="L573" s="214"/>
    </row>
    <row r="574" ht="13.5" customHeight="1" spans="1:12" x14ac:dyDescent="0.25">
      <c r="A574" s="211"/>
      <c r="B574" s="212"/>
      <c r="C574" s="213"/>
      <c r="D574" s="211"/>
      <c r="E574" s="214"/>
      <c r="F574" s="204"/>
      <c r="G574" s="201"/>
      <c r="H574" s="214"/>
      <c r="I574" s="214"/>
      <c r="J574" s="214"/>
      <c r="K574" s="214"/>
      <c r="L574" s="214"/>
    </row>
    <row r="575" ht="13.5" customHeight="1" spans="1:12" x14ac:dyDescent="0.25">
      <c r="A575" s="211"/>
      <c r="B575" s="212"/>
      <c r="C575" s="213"/>
      <c r="D575" s="211"/>
      <c r="E575" s="214"/>
      <c r="F575" s="204"/>
      <c r="G575" s="201"/>
      <c r="H575" s="214"/>
      <c r="I575" s="214"/>
      <c r="J575" s="214"/>
      <c r="K575" s="214"/>
      <c r="L575" s="214"/>
    </row>
    <row r="576" ht="13.5" customHeight="1" spans="1:12" x14ac:dyDescent="0.25">
      <c r="A576" s="211"/>
      <c r="B576" s="212"/>
      <c r="C576" s="213"/>
      <c r="D576" s="211"/>
      <c r="E576" s="214"/>
      <c r="F576" s="204"/>
      <c r="G576" s="201"/>
      <c r="H576" s="214"/>
      <c r="I576" s="214"/>
      <c r="J576" s="214"/>
      <c r="K576" s="214"/>
      <c r="L576" s="214"/>
    </row>
    <row r="577" ht="13.5" customHeight="1" spans="1:12" x14ac:dyDescent="0.25">
      <c r="A577" s="211"/>
      <c r="B577" s="212"/>
      <c r="C577" s="213"/>
      <c r="D577" s="211"/>
      <c r="E577" s="214"/>
      <c r="F577" s="204"/>
      <c r="G577" s="201"/>
      <c r="H577" s="214"/>
      <c r="I577" s="214"/>
      <c r="J577" s="214"/>
      <c r="K577" s="214"/>
      <c r="L577" s="214"/>
    </row>
    <row r="578" ht="13.5" customHeight="1" spans="1:12" x14ac:dyDescent="0.25">
      <c r="A578" s="211"/>
      <c r="B578" s="212"/>
      <c r="C578" s="213"/>
      <c r="D578" s="211"/>
      <c r="E578" s="214"/>
      <c r="F578" s="204"/>
      <c r="G578" s="201"/>
      <c r="H578" s="214"/>
      <c r="I578" s="214"/>
      <c r="J578" s="214"/>
      <c r="K578" s="214"/>
      <c r="L578" s="214"/>
    </row>
    <row r="579" ht="13.5" customHeight="1" spans="1:12" x14ac:dyDescent="0.25">
      <c r="A579" s="211"/>
      <c r="B579" s="212"/>
      <c r="C579" s="213"/>
      <c r="D579" s="211"/>
      <c r="E579" s="214"/>
      <c r="F579" s="204"/>
      <c r="G579" s="201"/>
      <c r="H579" s="214"/>
      <c r="I579" s="214"/>
      <c r="J579" s="214"/>
      <c r="K579" s="214"/>
      <c r="L579" s="214"/>
    </row>
    <row r="580" ht="13.5" customHeight="1" spans="1:12" x14ac:dyDescent="0.25">
      <c r="A580" s="211"/>
      <c r="B580" s="212"/>
      <c r="C580" s="213"/>
      <c r="D580" s="211"/>
      <c r="E580" s="214"/>
      <c r="F580" s="204"/>
      <c r="G580" s="201"/>
      <c r="H580" s="214"/>
      <c r="I580" s="214"/>
      <c r="J580" s="214"/>
      <c r="K580" s="214"/>
      <c r="L580" s="214"/>
    </row>
    <row r="581" ht="13.5" customHeight="1" spans="1:12" x14ac:dyDescent="0.25">
      <c r="A581" s="211"/>
      <c r="B581" s="212"/>
      <c r="C581" s="213"/>
      <c r="D581" s="211"/>
      <c r="E581" s="214"/>
      <c r="F581" s="204"/>
      <c r="G581" s="201"/>
      <c r="H581" s="214"/>
      <c r="I581" s="214"/>
      <c r="J581" s="214"/>
      <c r="K581" s="214"/>
      <c r="L581" s="214"/>
    </row>
    <row r="582" ht="13.5" customHeight="1" spans="1:12" x14ac:dyDescent="0.25">
      <c r="A582" s="211"/>
      <c r="B582" s="212"/>
      <c r="C582" s="213"/>
      <c r="D582" s="211"/>
      <c r="E582" s="214"/>
      <c r="F582" s="204"/>
      <c r="G582" s="201"/>
      <c r="H582" s="214"/>
      <c r="I582" s="214"/>
      <c r="J582" s="214"/>
      <c r="K582" s="214"/>
      <c r="L582" s="214"/>
    </row>
    <row r="583" ht="13.5" customHeight="1" spans="1:12" x14ac:dyDescent="0.25">
      <c r="A583" s="211"/>
      <c r="B583" s="212"/>
      <c r="C583" s="213"/>
      <c r="D583" s="211"/>
      <c r="E583" s="214"/>
      <c r="F583" s="204"/>
      <c r="G583" s="201"/>
      <c r="H583" s="214"/>
      <c r="I583" s="214"/>
      <c r="J583" s="214"/>
      <c r="K583" s="214"/>
      <c r="L583" s="214"/>
    </row>
    <row r="584" ht="13.5" customHeight="1" spans="1:12" x14ac:dyDescent="0.25">
      <c r="A584" s="211"/>
      <c r="B584" s="212"/>
      <c r="C584" s="213"/>
      <c r="D584" s="211"/>
      <c r="E584" s="214"/>
      <c r="F584" s="204"/>
      <c r="G584" s="201"/>
      <c r="H584" s="214"/>
      <c r="I584" s="214"/>
      <c r="J584" s="214"/>
      <c r="K584" s="214"/>
      <c r="L584" s="214"/>
    </row>
    <row r="585" ht="13.5" customHeight="1" spans="1:12" x14ac:dyDescent="0.25">
      <c r="A585" s="211"/>
      <c r="B585" s="212"/>
      <c r="C585" s="213"/>
      <c r="D585" s="211"/>
      <c r="E585" s="214"/>
      <c r="F585" s="204"/>
      <c r="G585" s="201"/>
      <c r="H585" s="214"/>
      <c r="I585" s="214"/>
      <c r="J585" s="214"/>
      <c r="K585" s="214"/>
      <c r="L585" s="214"/>
    </row>
    <row r="586" ht="13.5" customHeight="1" spans="1:12" x14ac:dyDescent="0.25">
      <c r="A586" s="211"/>
      <c r="B586" s="212"/>
      <c r="C586" s="213"/>
      <c r="D586" s="211"/>
      <c r="E586" s="214"/>
      <c r="F586" s="204"/>
      <c r="G586" s="201"/>
      <c r="H586" s="214"/>
      <c r="I586" s="214"/>
      <c r="J586" s="214"/>
      <c r="K586" s="214"/>
      <c r="L586" s="214"/>
    </row>
    <row r="587" ht="13.5" customHeight="1" spans="1:12" x14ac:dyDescent="0.25">
      <c r="A587" s="211"/>
      <c r="B587" s="212"/>
      <c r="C587" s="213"/>
      <c r="D587" s="211"/>
      <c r="E587" s="214"/>
      <c r="F587" s="204"/>
      <c r="G587" s="201"/>
      <c r="H587" s="214"/>
      <c r="I587" s="214"/>
      <c r="J587" s="214"/>
      <c r="K587" s="214"/>
      <c r="L587" s="214"/>
    </row>
    <row r="588" ht="13.5" customHeight="1" spans="1:12" x14ac:dyDescent="0.25">
      <c r="A588" s="211"/>
      <c r="B588" s="212"/>
      <c r="C588" s="213"/>
      <c r="D588" s="211"/>
      <c r="E588" s="214"/>
      <c r="F588" s="204"/>
      <c r="G588" s="201"/>
      <c r="H588" s="214"/>
      <c r="I588" s="214"/>
      <c r="J588" s="214"/>
      <c r="K588" s="214"/>
      <c r="L588" s="214"/>
    </row>
    <row r="589" ht="13.5" customHeight="1" spans="1:12" x14ac:dyDescent="0.25">
      <c r="A589" s="211"/>
      <c r="B589" s="212"/>
      <c r="C589" s="213"/>
      <c r="D589" s="211"/>
      <c r="E589" s="214"/>
      <c r="F589" s="204"/>
      <c r="G589" s="201"/>
      <c r="H589" s="214"/>
      <c r="I589" s="214"/>
      <c r="J589" s="214"/>
      <c r="K589" s="214"/>
      <c r="L589" s="214"/>
    </row>
    <row r="590" ht="13.5" customHeight="1" spans="1:12" x14ac:dyDescent="0.25">
      <c r="A590" s="211"/>
      <c r="B590" s="212"/>
      <c r="C590" s="213"/>
      <c r="D590" s="211"/>
      <c r="E590" s="214"/>
      <c r="F590" s="204"/>
      <c r="G590" s="201"/>
      <c r="H590" s="214"/>
      <c r="I590" s="214"/>
      <c r="J590" s="214"/>
      <c r="K590" s="214"/>
      <c r="L590" s="214"/>
    </row>
    <row r="591" ht="13.5" customHeight="1" spans="1:12" x14ac:dyDescent="0.25">
      <c r="A591" s="211"/>
      <c r="B591" s="212"/>
      <c r="C591" s="213"/>
      <c r="D591" s="211"/>
      <c r="E591" s="214"/>
      <c r="F591" s="204"/>
      <c r="G591" s="201"/>
      <c r="H591" s="214"/>
      <c r="I591" s="214"/>
      <c r="J591" s="214"/>
      <c r="K591" s="214"/>
      <c r="L591" s="214"/>
    </row>
    <row r="592" ht="13.5" customHeight="1" spans="1:12" x14ac:dyDescent="0.25">
      <c r="A592" s="211"/>
      <c r="B592" s="212"/>
      <c r="C592" s="213"/>
      <c r="D592" s="211"/>
      <c r="E592" s="214"/>
      <c r="F592" s="204"/>
      <c r="G592" s="201"/>
      <c r="H592" s="214"/>
      <c r="I592" s="214"/>
      <c r="J592" s="214"/>
      <c r="K592" s="214"/>
      <c r="L592" s="214"/>
    </row>
    <row r="593" ht="13.5" customHeight="1" spans="1:12" x14ac:dyDescent="0.25">
      <c r="A593" s="211"/>
      <c r="B593" s="212"/>
      <c r="C593" s="213"/>
      <c r="D593" s="211"/>
      <c r="E593" s="214"/>
      <c r="F593" s="204"/>
      <c r="G593" s="201"/>
      <c r="H593" s="214"/>
      <c r="I593" s="214"/>
      <c r="J593" s="214"/>
      <c r="K593" s="214"/>
      <c r="L593" s="214"/>
    </row>
    <row r="594" ht="13.5" customHeight="1" spans="1:12" x14ac:dyDescent="0.25">
      <c r="A594" s="211"/>
      <c r="B594" s="212"/>
      <c r="C594" s="213"/>
      <c r="D594" s="211"/>
      <c r="E594" s="214"/>
      <c r="F594" s="204"/>
      <c r="G594" s="201"/>
      <c r="H594" s="214"/>
      <c r="I594" s="214"/>
      <c r="J594" s="214"/>
      <c r="K594" s="214"/>
      <c r="L594" s="214"/>
    </row>
    <row r="595" ht="13.5" customHeight="1" spans="1:12" x14ac:dyDescent="0.25">
      <c r="A595" s="211"/>
      <c r="B595" s="212"/>
      <c r="C595" s="213"/>
      <c r="D595" s="211"/>
      <c r="E595" s="214"/>
      <c r="F595" s="204"/>
      <c r="G595" s="201"/>
      <c r="H595" s="214"/>
      <c r="I595" s="214"/>
      <c r="J595" s="214"/>
      <c r="K595" s="214"/>
      <c r="L595" s="214"/>
    </row>
    <row r="596" ht="13.5" customHeight="1" spans="1:12" x14ac:dyDescent="0.25">
      <c r="A596" s="211"/>
      <c r="B596" s="212"/>
      <c r="C596" s="213"/>
      <c r="D596" s="211"/>
      <c r="E596" s="214"/>
      <c r="F596" s="204"/>
      <c r="G596" s="201"/>
      <c r="H596" s="214"/>
      <c r="I596" s="214"/>
      <c r="J596" s="214"/>
      <c r="K596" s="214"/>
      <c r="L596" s="214"/>
    </row>
    <row r="597" ht="13.5" customHeight="1" spans="1:12" x14ac:dyDescent="0.25">
      <c r="A597" s="211"/>
      <c r="B597" s="212"/>
      <c r="C597" s="213"/>
      <c r="D597" s="211"/>
      <c r="E597" s="214"/>
      <c r="F597" s="204"/>
      <c r="G597" s="201"/>
      <c r="H597" s="214"/>
      <c r="I597" s="214"/>
      <c r="J597" s="214"/>
      <c r="K597" s="214"/>
      <c r="L597" s="214"/>
    </row>
    <row r="598" ht="13.5" customHeight="1" spans="1:12" x14ac:dyDescent="0.25">
      <c r="A598" s="211"/>
      <c r="B598" s="212"/>
      <c r="C598" s="213"/>
      <c r="D598" s="211"/>
      <c r="E598" s="214"/>
      <c r="F598" s="204"/>
      <c r="G598" s="201"/>
      <c r="H598" s="214"/>
      <c r="I598" s="214"/>
      <c r="J598" s="214"/>
      <c r="K598" s="214"/>
      <c r="L598" s="214"/>
    </row>
    <row r="599" ht="13.5" customHeight="1" spans="1:12" x14ac:dyDescent="0.25">
      <c r="A599" s="211"/>
      <c r="B599" s="212"/>
      <c r="C599" s="213"/>
      <c r="D599" s="211"/>
      <c r="E599" s="214"/>
      <c r="F599" s="204"/>
      <c r="G599" s="201"/>
      <c r="H599" s="214"/>
      <c r="I599" s="214"/>
      <c r="J599" s="214"/>
      <c r="K599" s="214"/>
      <c r="L599" s="214"/>
    </row>
    <row r="600" ht="13.5" customHeight="1" spans="1:12" x14ac:dyDescent="0.25">
      <c r="A600" s="211"/>
      <c r="B600" s="212"/>
      <c r="C600" s="213"/>
      <c r="D600" s="211"/>
      <c r="E600" s="214"/>
      <c r="F600" s="204"/>
      <c r="G600" s="201"/>
      <c r="H600" s="214"/>
      <c r="I600" s="214"/>
      <c r="J600" s="214"/>
      <c r="K600" s="214"/>
      <c r="L600" s="214"/>
    </row>
    <row r="601" ht="13.5" customHeight="1" spans="1:12" x14ac:dyDescent="0.25">
      <c r="A601" s="211"/>
      <c r="B601" s="212"/>
      <c r="C601" s="213"/>
      <c r="D601" s="211"/>
      <c r="E601" s="214"/>
      <c r="F601" s="204"/>
      <c r="G601" s="201"/>
      <c r="H601" s="214"/>
      <c r="I601" s="214"/>
      <c r="J601" s="214"/>
      <c r="K601" s="214"/>
      <c r="L601" s="214"/>
    </row>
    <row r="602" ht="13.5" customHeight="1" spans="1:12" x14ac:dyDescent="0.25">
      <c r="A602" s="211"/>
      <c r="B602" s="212"/>
      <c r="C602" s="213"/>
      <c r="D602" s="211"/>
      <c r="E602" s="214"/>
      <c r="F602" s="204"/>
      <c r="G602" s="201"/>
      <c r="H602" s="214"/>
      <c r="I602" s="214"/>
      <c r="J602" s="214"/>
      <c r="K602" s="214"/>
      <c r="L602" s="214"/>
    </row>
    <row r="603" ht="13.5" customHeight="1" spans="1:12" x14ac:dyDescent="0.25">
      <c r="A603" s="211"/>
      <c r="B603" s="212"/>
      <c r="C603" s="213"/>
      <c r="D603" s="211"/>
      <c r="E603" s="214"/>
      <c r="F603" s="204"/>
      <c r="G603" s="201"/>
      <c r="H603" s="214"/>
      <c r="I603" s="214"/>
      <c r="J603" s="214"/>
      <c r="K603" s="214"/>
      <c r="L603" s="214"/>
    </row>
    <row r="604" ht="13.5" customHeight="1" spans="1:12" x14ac:dyDescent="0.25">
      <c r="A604" s="215" t="s">
        <v>8</v>
      </c>
      <c r="B604" s="215"/>
      <c r="C604" s="215"/>
      <c r="D604" s="215"/>
      <c r="E604" s="216">
        <f>SUM(E1:E603)</f>
      </c>
      <c r="F604" s="217"/>
      <c r="G604" s="217"/>
      <c r="H604" s="218">
        <f>SUM(H1:H603)</f>
      </c>
      <c r="I604" s="216">
        <f>SUM(I1:I603)</f>
      </c>
      <c r="J604" s="216">
        <f>SUM(J1:J603)</f>
      </c>
      <c r="K604" s="216">
        <f>SUM(K1:K603)</f>
      </c>
      <c r="L604" s="216">
        <f>SUM(L1:L603)</f>
      </c>
    </row>
    <row r="605" ht="13.5" customHeight="1" spans="1:12" x14ac:dyDescent="0.25">
      <c r="A605"/>
      <c r="B605"/>
      <c r="C605"/>
      <c r="D605"/>
      <c r="E605"/>
      <c r="F605" s="219"/>
      <c r="G605" s="219"/>
      <c r="H605"/>
      <c r="I605"/>
      <c r="J605"/>
      <c r="K605"/>
      <c r="L605"/>
    </row>
    <row r="606" ht="15" customHeight="1" x14ac:dyDescent="0.25"/>
  </sheetData>
  <mergeCells count="9">
    <mergeCell ref="B2:G2"/>
    <mergeCell ref="K2:L2"/>
    <mergeCell ref="A604:D605"/>
    <mergeCell ref="E604:E605"/>
    <mergeCell ref="H604:H605"/>
    <mergeCell ref="I604:I605"/>
    <mergeCell ref="J604:J605"/>
    <mergeCell ref="K604:K605"/>
    <mergeCell ref="L604:L605"/>
  </mergeCells>
  <hyperlinks>
    <hyperlink ref="B1" r:id="rId1"/>
  </hyperlinks>
  <pageMargins left="0.7" right="0.7" top="0.75" bottom="0.75" header="0.3" footer="0.3"/>
  <pageSetup paperSize="8" orientation="landscape" horizontalDpi="4294967295" verticalDpi="4294967295" scale="65" fitToWidth="1" fitToHeight="0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38"/>
  <sheetViews>
    <sheetView workbookViewId="0" zoomScale="100" zoomScaleNormal="100">
      <selection activeCell="E2" sqref="E2"/>
    </sheetView>
  </sheetViews>
  <sheetFormatPr defaultRowHeight="15" outlineLevelRow="0" outlineLevelCol="0" x14ac:dyDescent="0.35" defaultColWidth="14.453125"/>
  <cols>
    <col min="1" max="1" width="43" customWidth="1"/>
    <col min="2" max="5" width="17.453125" customWidth="1"/>
    <col min="6" max="6" width="27.7265625" customWidth="1"/>
    <col min="7" max="7" width="26.81640625" customWidth="1"/>
    <col min="8" max="26" width="9.1796875" customWidth="1"/>
  </cols>
  <sheetData>
    <row r="1" ht="14.25" customHeight="1" spans="1:26" x14ac:dyDescent="0.25">
      <c r="A1" s="220" t="s">
        <v>176</v>
      </c>
      <c r="B1" s="221"/>
      <c r="C1" s="221"/>
      <c r="D1" s="221"/>
      <c r="E1" s="221"/>
      <c r="F1" s="221"/>
      <c r="G1" s="222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3"/>
      <c r="W1" s="223"/>
      <c r="X1" s="223"/>
      <c r="Y1" s="223"/>
      <c r="Z1" s="223"/>
    </row>
    <row r="2" ht="14.25" customHeight="1" spans="1:26" x14ac:dyDescent="0.25">
      <c r="A2" s="224" t="s">
        <v>177</v>
      </c>
      <c r="B2" s="225"/>
      <c r="C2" s="225"/>
      <c r="D2" s="226"/>
      <c r="E2" s="227"/>
      <c r="F2" s="227"/>
      <c r="G2" s="228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</row>
    <row r="3" ht="14.25" customHeight="1" spans="1:26" x14ac:dyDescent="0.25">
      <c r="A3" s="229" t="s">
        <v>178</v>
      </c>
      <c r="B3" s="221"/>
      <c r="C3" s="221"/>
      <c r="D3" s="222"/>
      <c r="E3" s="230" t="s">
        <v>179</v>
      </c>
      <c r="F3" s="227"/>
      <c r="G3" s="228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ht="14.25" customHeight="1" spans="1:26" x14ac:dyDescent="0.25">
      <c r="A4" s="231" t="s">
        <v>180</v>
      </c>
      <c r="B4" s="221"/>
      <c r="C4" s="221"/>
      <c r="D4" s="222"/>
      <c r="E4" s="232"/>
      <c r="F4" s="227"/>
      <c r="G4" s="228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14.25" customHeight="1" spans="1:26" x14ac:dyDescent="0.25">
      <c r="A5" s="229" t="s">
        <v>181</v>
      </c>
      <c r="B5" s="221"/>
      <c r="C5" s="221"/>
      <c r="D5" s="222"/>
      <c r="E5" s="232"/>
      <c r="F5" s="227"/>
      <c r="G5" s="228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14.25" customHeight="1" spans="1:26" x14ac:dyDescent="0.25">
      <c r="A6" s="229" t="s">
        <v>182</v>
      </c>
      <c r="B6" s="221"/>
      <c r="C6" s="221"/>
      <c r="D6" s="222"/>
      <c r="E6" s="233"/>
      <c r="F6" s="234"/>
      <c r="G6" s="235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</row>
    <row r="7" ht="32.25" customHeight="1" spans="1:26" x14ac:dyDescent="0.25">
      <c r="A7" s="236" t="s">
        <v>183</v>
      </c>
      <c r="B7" s="221"/>
      <c r="C7" s="221"/>
      <c r="D7" s="221"/>
      <c r="E7" s="221"/>
      <c r="F7" s="222"/>
      <c r="G7" s="237"/>
      <c r="H7" s="223"/>
      <c r="I7" s="223"/>
      <c r="J7" s="223"/>
      <c r="K7" s="223"/>
      <c r="L7" s="223"/>
      <c r="M7" s="223"/>
      <c r="N7" s="223"/>
      <c r="O7" s="223"/>
      <c r="P7" s="223"/>
      <c r="Q7" s="223"/>
      <c r="R7" s="223"/>
      <c r="S7" s="223"/>
      <c r="T7" s="223"/>
      <c r="U7" s="223"/>
      <c r="V7" s="223"/>
      <c r="W7" s="223"/>
      <c r="X7" s="223"/>
      <c r="Y7" s="223"/>
      <c r="Z7" s="223"/>
    </row>
    <row r="8" ht="14.25" customHeight="1" spans="1:26" x14ac:dyDescent="0.25">
      <c r="A8" s="238"/>
      <c r="B8" s="239" t="s">
        <v>184</v>
      </c>
      <c r="C8" s="239" t="s">
        <v>185</v>
      </c>
      <c r="D8" s="239" t="s">
        <v>186</v>
      </c>
      <c r="E8" s="240" t="s">
        <v>187</v>
      </c>
      <c r="F8" s="241" t="s">
        <v>188</v>
      </c>
      <c r="G8" s="241" t="s">
        <v>189</v>
      </c>
      <c r="H8" s="223"/>
      <c r="I8" s="223"/>
      <c r="J8" s="223"/>
      <c r="K8" s="223"/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3"/>
      <c r="Z8" s="223"/>
    </row>
    <row r="9" ht="22.5" customHeight="1" spans="1:26" x14ac:dyDescent="0.25">
      <c r="A9" s="242" t="s">
        <v>190</v>
      </c>
      <c r="B9" s="243"/>
      <c r="C9" s="243"/>
      <c r="D9" s="244" t="s">
        <v>191</v>
      </c>
      <c r="E9" s="245" t="s">
        <v>192</v>
      </c>
      <c r="F9" s="246" t="s">
        <v>193</v>
      </c>
      <c r="G9" s="246" t="s">
        <v>194</v>
      </c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3"/>
      <c r="Y9" s="223"/>
      <c r="Z9" s="223"/>
    </row>
    <row r="10" ht="42" customHeight="1" spans="1:26" x14ac:dyDescent="0.25">
      <c r="A10" s="247" t="s">
        <v>195</v>
      </c>
      <c r="B10" s="248">
        <v>0</v>
      </c>
      <c r="C10" s="248"/>
      <c r="D10" s="248"/>
      <c r="E10" s="249"/>
      <c r="F10" s="250"/>
      <c r="G10" s="251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</row>
    <row r="11" ht="14.25" customHeight="1" spans="1:26" x14ac:dyDescent="0.25">
      <c r="A11" s="252" t="s">
        <v>196</v>
      </c>
      <c r="B11" s="253">
        <v>924000</v>
      </c>
      <c r="C11" s="253">
        <f>C16</f>
      </c>
      <c r="D11" s="253">
        <f>B11-C11</f>
      </c>
      <c r="E11" s="254">
        <f>D11/B11</f>
      </c>
      <c r="F11" s="255" t="s">
        <v>197</v>
      </c>
      <c r="G11" s="256" t="s">
        <v>198</v>
      </c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  <c r="X11" s="223"/>
      <c r="Y11" s="223"/>
      <c r="Z11" s="223"/>
    </row>
    <row r="12" ht="14.25" customHeight="1" spans="1:26" x14ac:dyDescent="0.25">
      <c r="A12" s="247" t="s">
        <v>199</v>
      </c>
      <c r="B12" s="248">
        <v>0</v>
      </c>
      <c r="C12" s="248">
        <v>0</v>
      </c>
      <c r="D12" s="248">
        <f t="shared" ref="D12:D15" si="0">C12-B12</f>
      </c>
      <c r="E12" s="249">
        <v>0</v>
      </c>
      <c r="F12" s="250"/>
      <c r="G12" s="251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</row>
    <row r="13" ht="14.25" customHeight="1" spans="1:26" x14ac:dyDescent="0.25">
      <c r="A13" s="258" t="s">
        <v>200</v>
      </c>
      <c r="B13" s="248">
        <v>0</v>
      </c>
      <c r="C13" s="248">
        <v>0</v>
      </c>
      <c r="D13" s="248">
        <f t="shared" si="0"/>
        <v>0</v>
      </c>
      <c r="E13" s="249">
        <v>0</v>
      </c>
      <c r="F13" s="250"/>
      <c r="G13" s="251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</row>
    <row r="14" ht="14.25" customHeight="1" spans="1:26" x14ac:dyDescent="0.25">
      <c r="A14" s="247" t="s">
        <v>201</v>
      </c>
      <c r="B14" s="248">
        <v>0</v>
      </c>
      <c r="C14" s="248">
        <v>0</v>
      </c>
      <c r="D14" s="248">
        <f t="shared" si="0"/>
        <v>0</v>
      </c>
      <c r="E14" s="249">
        <v>0</v>
      </c>
      <c r="F14" s="250"/>
      <c r="G14" s="251"/>
      <c r="H14" s="257"/>
      <c r="I14" s="257"/>
      <c r="J14" s="257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</row>
    <row r="15" ht="14.25" customHeight="1" spans="1:26" x14ac:dyDescent="0.25">
      <c r="A15" s="247" t="s">
        <v>202</v>
      </c>
      <c r="B15" s="248">
        <v>0</v>
      </c>
      <c r="C15" s="248">
        <v>0</v>
      </c>
      <c r="D15" s="248">
        <f t="shared" si="0"/>
        <v>0</v>
      </c>
      <c r="E15" s="249">
        <v>0</v>
      </c>
      <c r="F15" s="250"/>
      <c r="G15" s="251"/>
      <c r="H15" s="257"/>
      <c r="I15" s="257"/>
      <c r="J15" s="257"/>
      <c r="K15" s="257"/>
      <c r="L15" s="257"/>
      <c r="M15" s="257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</row>
    <row r="16" ht="14.25" customHeight="1" spans="1:26" x14ac:dyDescent="0.25">
      <c r="A16" s="238" t="s">
        <v>203</v>
      </c>
      <c r="B16" s="248">
        <f>SUM(B10:B11)</f>
      </c>
      <c r="C16" s="248">
        <f>C17</f>
      </c>
      <c r="D16" s="248">
        <f>B16-C16</f>
      </c>
      <c r="E16" s="249">
        <f>D16/B16</f>
      </c>
      <c r="F16" s="250" t="s">
        <v>197</v>
      </c>
      <c r="G16" s="259" t="s">
        <v>198</v>
      </c>
      <c r="H16" s="223"/>
      <c r="I16" s="223"/>
      <c r="J16" s="223"/>
      <c r="K16" s="223"/>
      <c r="L16" s="223"/>
      <c r="M16" s="223"/>
      <c r="N16" s="223"/>
      <c r="O16" s="223"/>
      <c r="P16" s="223"/>
      <c r="Q16" s="223"/>
      <c r="R16" s="223"/>
      <c r="S16" s="223"/>
      <c r="T16" s="223"/>
      <c r="U16" s="223"/>
      <c r="V16" s="223"/>
      <c r="W16" s="223"/>
      <c r="X16" s="223"/>
      <c r="Y16" s="223"/>
      <c r="Z16" s="223"/>
    </row>
    <row r="17" ht="42" customHeight="1" spans="1:26" x14ac:dyDescent="0.25">
      <c r="A17" s="242" t="s">
        <v>204</v>
      </c>
      <c r="B17" s="260">
        <f>B18+B79+B120+B162</f>
      </c>
      <c r="C17" s="260">
        <f>C18+C79+C120+C162</f>
      </c>
      <c r="D17" s="260">
        <f>B17-C17</f>
      </c>
      <c r="E17" s="261" t="s">
        <v>205</v>
      </c>
      <c r="F17" s="262" t="s">
        <v>197</v>
      </c>
      <c r="G17" s="263" t="s">
        <v>206</v>
      </c>
      <c r="H17" s="257"/>
      <c r="I17" s="257"/>
      <c r="J17" s="257"/>
      <c r="K17" s="257"/>
      <c r="L17" s="257"/>
      <c r="M17" s="257"/>
      <c r="N17" s="257"/>
      <c r="O17" s="257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</row>
    <row r="18" ht="14.25" customHeight="1" spans="1:26" x14ac:dyDescent="0.25">
      <c r="A18" s="264" t="s">
        <v>207</v>
      </c>
      <c r="B18" s="265">
        <f>SUM(B19:B78)</f>
      </c>
      <c r="C18" s="265">
        <f>SUM(C19:C78)</f>
      </c>
      <c r="D18" s="265">
        <f>B18-C18</f>
      </c>
      <c r="E18" s="266">
        <f>D18/C18</f>
      </c>
      <c r="F18" s="267"/>
      <c r="G18" s="268"/>
      <c r="H18" s="257"/>
      <c r="I18" s="257"/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7"/>
      <c r="W18" s="257"/>
      <c r="X18" s="257"/>
      <c r="Y18" s="257"/>
      <c r="Z18" s="257"/>
    </row>
    <row r="19" ht="28.5" customHeight="1" spans="1:26" x14ac:dyDescent="0.25">
      <c r="A19" s="269"/>
      <c r="B19" s="248">
        <v>0</v>
      </c>
      <c r="C19" s="248">
        <v>0</v>
      </c>
      <c r="D19" s="270">
        <f>B19-C19</f>
      </c>
      <c r="E19" s="249">
        <v>0</v>
      </c>
      <c r="F19" s="250"/>
      <c r="G19" s="25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 ht="43.5" customHeight="1" spans="1:26" x14ac:dyDescent="0.25">
      <c r="A20" s="272"/>
      <c r="B20" s="248">
        <v>0</v>
      </c>
      <c r="C20" s="248">
        <v>0</v>
      </c>
      <c r="D20" s="270">
        <f>B20-C20</f>
      </c>
      <c r="E20" s="249">
        <v>0</v>
      </c>
      <c r="F20" s="273"/>
      <c r="G20" s="251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</row>
    <row r="21" ht="27" customHeight="1" spans="1:26" x14ac:dyDescent="0.25">
      <c r="A21" s="272"/>
      <c r="B21" s="248">
        <v>0</v>
      </c>
      <c r="C21" s="248">
        <v>0</v>
      </c>
      <c r="D21" s="270">
        <f>B21-C21</f>
      </c>
      <c r="E21" s="249">
        <v>0</v>
      </c>
      <c r="F21" s="273"/>
      <c r="G21" s="251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</row>
    <row r="22" ht="53.25" customHeight="1" spans="1:26" x14ac:dyDescent="0.25">
      <c r="A22" s="272"/>
      <c r="B22" s="248">
        <v>0</v>
      </c>
      <c r="C22" s="248">
        <v>0</v>
      </c>
      <c r="D22" s="270">
        <f>B22-C22</f>
      </c>
      <c r="E22" s="249">
        <v>0</v>
      </c>
      <c r="F22" s="273"/>
      <c r="G22" s="251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  <c r="S22" s="257"/>
      <c r="T22" s="257"/>
      <c r="U22" s="257"/>
      <c r="V22" s="257"/>
      <c r="W22" s="257"/>
      <c r="X22" s="257"/>
      <c r="Y22" s="257"/>
      <c r="Z22" s="257"/>
    </row>
    <row r="23" ht="25.5" customHeight="1" spans="1:26" x14ac:dyDescent="0.25">
      <c r="A23" s="272"/>
      <c r="B23" s="248">
        <v>0</v>
      </c>
      <c r="C23" s="248">
        <v>0</v>
      </c>
      <c r="D23" s="270">
        <f>B23-C23</f>
      </c>
      <c r="E23" s="249">
        <v>0</v>
      </c>
      <c r="F23" s="273"/>
      <c r="G23" s="251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</row>
    <row r="24" ht="31.5" customHeight="1" spans="1:26" x14ac:dyDescent="0.25">
      <c r="A24" s="272"/>
      <c r="B24" s="248">
        <v>0</v>
      </c>
      <c r="C24" s="248">
        <v>0</v>
      </c>
      <c r="D24" s="270">
        <f>B24-C24</f>
      </c>
      <c r="E24" s="249">
        <v>0</v>
      </c>
      <c r="F24" s="273"/>
      <c r="G24" s="251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</row>
    <row r="25" ht="45" customHeight="1" spans="1:26" x14ac:dyDescent="0.25">
      <c r="A25" s="272"/>
      <c r="B25" s="248">
        <v>0</v>
      </c>
      <c r="C25" s="248">
        <v>0</v>
      </c>
      <c r="D25" s="270">
        <f>B25-C25</f>
      </c>
      <c r="E25" s="249">
        <v>0</v>
      </c>
      <c r="F25" s="273"/>
      <c r="G25" s="251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</row>
    <row r="26" ht="45" customHeight="1" spans="1:26" x14ac:dyDescent="0.25">
      <c r="A26" s="272"/>
      <c r="B26" s="248">
        <v>0</v>
      </c>
      <c r="C26" s="248">
        <v>0</v>
      </c>
      <c r="D26" s="270">
        <f>B26-C26</f>
      </c>
      <c r="E26" s="249">
        <v>0</v>
      </c>
      <c r="F26" s="273"/>
      <c r="G26" s="251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</row>
    <row r="27" ht="45" customHeight="1" spans="1:26" x14ac:dyDescent="0.25">
      <c r="A27" s="272"/>
      <c r="B27" s="248">
        <v>0</v>
      </c>
      <c r="C27" s="248">
        <v>0</v>
      </c>
      <c r="D27" s="270">
        <f>B27-C27</f>
      </c>
      <c r="E27" s="249">
        <v>0</v>
      </c>
      <c r="F27" s="273"/>
      <c r="G27" s="251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</row>
    <row r="28" ht="45" customHeight="1" spans="1:26" x14ac:dyDescent="0.25">
      <c r="A28" s="274"/>
      <c r="B28" s="248">
        <v>0</v>
      </c>
      <c r="C28" s="248">
        <v>0</v>
      </c>
      <c r="D28" s="270">
        <f>B28-C28</f>
      </c>
      <c r="E28" s="249">
        <v>0</v>
      </c>
      <c r="F28" s="273"/>
      <c r="G28" s="275"/>
      <c r="H28" s="257"/>
      <c r="I28" s="257"/>
      <c r="J28" s="257"/>
      <c r="K28" s="257"/>
      <c r="L28" s="257"/>
      <c r="M28" s="257"/>
      <c r="N28" s="257"/>
      <c r="O28" s="257"/>
      <c r="P28" s="257"/>
      <c r="Q28" s="257"/>
      <c r="R28" s="257"/>
      <c r="S28" s="257"/>
      <c r="T28" s="257"/>
      <c r="U28" s="257"/>
      <c r="V28" s="257"/>
      <c r="W28" s="257"/>
      <c r="X28" s="257"/>
      <c r="Y28" s="257"/>
      <c r="Z28" s="257"/>
    </row>
    <row r="29" ht="45" customHeight="1" spans="1:26" x14ac:dyDescent="0.25">
      <c r="A29" s="274"/>
      <c r="B29" s="248">
        <v>0</v>
      </c>
      <c r="C29" s="248">
        <v>0</v>
      </c>
      <c r="D29" s="270">
        <f>B29-C29</f>
      </c>
      <c r="E29" s="249">
        <v>0</v>
      </c>
      <c r="F29" s="273"/>
      <c r="G29" s="251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</row>
    <row r="30" ht="45" customHeight="1" spans="1:26" x14ac:dyDescent="0.25">
      <c r="A30" s="274"/>
      <c r="B30" s="248">
        <v>0</v>
      </c>
      <c r="C30" s="248">
        <v>0</v>
      </c>
      <c r="D30" s="270">
        <f>B30-C30</f>
      </c>
      <c r="E30" s="249">
        <v>0</v>
      </c>
      <c r="F30" s="273"/>
      <c r="G30" s="251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</row>
    <row r="31" ht="45" customHeight="1" spans="1:26" x14ac:dyDescent="0.25">
      <c r="A31" s="274"/>
      <c r="B31" s="248">
        <v>0</v>
      </c>
      <c r="C31" s="248">
        <v>0</v>
      </c>
      <c r="D31" s="270">
        <f>B31-C31</f>
      </c>
      <c r="E31" s="249">
        <v>0</v>
      </c>
      <c r="F31" s="273"/>
      <c r="G31" s="275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</row>
    <row r="32" ht="45" customHeight="1" spans="1:26" x14ac:dyDescent="0.25">
      <c r="A32" s="274"/>
      <c r="B32" s="248">
        <v>0</v>
      </c>
      <c r="C32" s="248">
        <v>0</v>
      </c>
      <c r="D32" s="270">
        <f>B32-C32</f>
      </c>
      <c r="E32" s="249">
        <v>0</v>
      </c>
      <c r="F32" s="273"/>
      <c r="G32" s="251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</row>
    <row r="33" ht="45" customHeight="1" spans="1:26" x14ac:dyDescent="0.25">
      <c r="A33" s="274"/>
      <c r="B33" s="248">
        <v>0</v>
      </c>
      <c r="C33" s="248">
        <v>0</v>
      </c>
      <c r="D33" s="270">
        <f>B33-C33</f>
      </c>
      <c r="E33" s="249">
        <v>0</v>
      </c>
      <c r="F33" s="273"/>
      <c r="G33" s="251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7"/>
      <c r="S33" s="257"/>
      <c r="T33" s="257"/>
      <c r="U33" s="257"/>
      <c r="V33" s="257"/>
      <c r="W33" s="257"/>
      <c r="X33" s="257"/>
      <c r="Y33" s="257"/>
      <c r="Z33" s="257"/>
    </row>
    <row r="34" ht="45" customHeight="1" spans="1:26" x14ac:dyDescent="0.25">
      <c r="A34" s="274"/>
      <c r="B34" s="248">
        <v>0</v>
      </c>
      <c r="C34" s="248">
        <v>0</v>
      </c>
      <c r="D34" s="270">
        <f>B34-C34</f>
      </c>
      <c r="E34" s="249">
        <v>0</v>
      </c>
      <c r="F34" s="273"/>
      <c r="G34" s="275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</row>
    <row r="35" ht="45" customHeight="1" spans="1:26" x14ac:dyDescent="0.25">
      <c r="A35" s="274"/>
      <c r="B35" s="248">
        <v>0</v>
      </c>
      <c r="C35" s="248">
        <v>0</v>
      </c>
      <c r="D35" s="270">
        <f>B35-C35</f>
      </c>
      <c r="E35" s="249">
        <v>0</v>
      </c>
      <c r="F35" s="273"/>
      <c r="G35" s="251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</row>
    <row r="36" ht="45" customHeight="1" spans="1:26" x14ac:dyDescent="0.25">
      <c r="A36" s="274"/>
      <c r="B36" s="248">
        <v>0</v>
      </c>
      <c r="C36" s="248">
        <v>0</v>
      </c>
      <c r="D36" s="270">
        <f>B36-C36</f>
      </c>
      <c r="E36" s="249">
        <v>0</v>
      </c>
      <c r="F36" s="273"/>
      <c r="G36" s="251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</row>
    <row r="37" ht="45" customHeight="1" spans="1:26" x14ac:dyDescent="0.25">
      <c r="A37" s="274"/>
      <c r="B37" s="248">
        <v>0</v>
      </c>
      <c r="C37" s="248">
        <v>0</v>
      </c>
      <c r="D37" s="270">
        <f>B37-C37</f>
      </c>
      <c r="E37" s="249">
        <v>0</v>
      </c>
      <c r="F37" s="273"/>
      <c r="G37" s="251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</row>
    <row r="38" ht="45" customHeight="1" spans="1:26" x14ac:dyDescent="0.25">
      <c r="A38" s="274"/>
      <c r="B38" s="248">
        <v>0</v>
      </c>
      <c r="C38" s="248">
        <v>0</v>
      </c>
      <c r="D38" s="270">
        <f>B38-C38</f>
      </c>
      <c r="E38" s="249">
        <v>0</v>
      </c>
      <c r="F38" s="273"/>
      <c r="G38" s="251"/>
      <c r="H38" s="257"/>
      <c r="I38" s="257"/>
      <c r="J38" s="257"/>
      <c r="K38" s="257"/>
      <c r="L38" s="257"/>
      <c r="M38" s="257"/>
      <c r="N38" s="257"/>
      <c r="O38" s="257"/>
      <c r="P38" s="257"/>
      <c r="Q38" s="257"/>
      <c r="R38" s="257"/>
      <c r="S38" s="257"/>
      <c r="T38" s="257"/>
      <c r="U38" s="257"/>
      <c r="V38" s="257"/>
      <c r="W38" s="257"/>
      <c r="X38" s="257"/>
      <c r="Y38" s="257"/>
      <c r="Z38" s="257"/>
    </row>
    <row r="39" ht="45" customHeight="1" spans="1:26" x14ac:dyDescent="0.25">
      <c r="A39" s="274"/>
      <c r="B39" s="248">
        <v>0</v>
      </c>
      <c r="C39" s="248">
        <v>0</v>
      </c>
      <c r="D39" s="270">
        <f>B39-C39</f>
      </c>
      <c r="E39" s="249">
        <v>0</v>
      </c>
      <c r="F39" s="273"/>
      <c r="G39" s="251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7"/>
      <c r="S39" s="257"/>
      <c r="T39" s="257"/>
      <c r="U39" s="257"/>
      <c r="V39" s="257"/>
      <c r="W39" s="257"/>
      <c r="X39" s="257"/>
      <c r="Y39" s="257"/>
      <c r="Z39" s="257"/>
    </row>
    <row r="40" ht="45" customHeight="1" spans="1:26" x14ac:dyDescent="0.25">
      <c r="A40" s="274"/>
      <c r="B40" s="248">
        <v>0</v>
      </c>
      <c r="C40" s="248">
        <v>0</v>
      </c>
      <c r="D40" s="270">
        <f>B40-C40</f>
      </c>
      <c r="E40" s="249">
        <v>0</v>
      </c>
      <c r="F40" s="273"/>
      <c r="G40" s="251"/>
      <c r="H40" s="257"/>
      <c r="I40" s="257"/>
      <c r="J40" s="257"/>
      <c r="K40" s="257"/>
      <c r="L40" s="257"/>
      <c r="M40" s="257"/>
      <c r="N40" s="257"/>
      <c r="O40" s="257"/>
      <c r="P40" s="257"/>
      <c r="Q40" s="257"/>
      <c r="R40" s="257"/>
      <c r="S40" s="257"/>
      <c r="T40" s="257"/>
      <c r="U40" s="257"/>
      <c r="V40" s="257"/>
      <c r="W40" s="257"/>
      <c r="X40" s="257"/>
      <c r="Y40" s="257"/>
      <c r="Z40" s="257"/>
    </row>
    <row r="41" ht="45" customHeight="1" spans="1:26" x14ac:dyDescent="0.25">
      <c r="A41" s="274"/>
      <c r="B41" s="248">
        <v>0</v>
      </c>
      <c r="C41" s="248">
        <v>0</v>
      </c>
      <c r="D41" s="270">
        <f>B41-C41</f>
      </c>
      <c r="E41" s="249">
        <v>0</v>
      </c>
      <c r="F41" s="273"/>
      <c r="G41" s="251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7"/>
      <c r="S41" s="257"/>
      <c r="T41" s="257"/>
      <c r="U41" s="257"/>
      <c r="V41" s="257"/>
      <c r="W41" s="257"/>
      <c r="X41" s="257"/>
      <c r="Y41" s="257"/>
      <c r="Z41" s="257"/>
    </row>
    <row r="42" ht="45" customHeight="1" spans="1:26" x14ac:dyDescent="0.25">
      <c r="A42" s="274"/>
      <c r="B42" s="248">
        <v>0</v>
      </c>
      <c r="C42" s="248">
        <v>0</v>
      </c>
      <c r="D42" s="270">
        <f>B42-C42</f>
      </c>
      <c r="E42" s="249">
        <v>0</v>
      </c>
      <c r="F42" s="273"/>
      <c r="G42" s="251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7"/>
      <c r="S42" s="257"/>
      <c r="T42" s="257"/>
      <c r="U42" s="257"/>
      <c r="V42" s="257"/>
      <c r="W42" s="257"/>
      <c r="X42" s="257"/>
      <c r="Y42" s="257"/>
      <c r="Z42" s="257"/>
    </row>
    <row r="43" ht="45" customHeight="1" spans="1:26" x14ac:dyDescent="0.25">
      <c r="A43" s="274"/>
      <c r="B43" s="248">
        <v>0</v>
      </c>
      <c r="C43" s="248">
        <v>0</v>
      </c>
      <c r="D43" s="270">
        <f>B43-C43</f>
      </c>
      <c r="E43" s="249">
        <v>0</v>
      </c>
      <c r="F43" s="273"/>
      <c r="G43" s="251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</row>
    <row r="44" ht="45" customHeight="1" spans="1:26" x14ac:dyDescent="0.25">
      <c r="A44" s="274"/>
      <c r="B44" s="248">
        <v>0</v>
      </c>
      <c r="C44" s="248">
        <v>0</v>
      </c>
      <c r="D44" s="270">
        <f>B44-C44</f>
      </c>
      <c r="E44" s="249">
        <v>0</v>
      </c>
      <c r="F44" s="273"/>
      <c r="G44" s="251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</row>
    <row r="45" ht="45" customHeight="1" spans="1:26" x14ac:dyDescent="0.25">
      <c r="A45" s="274"/>
      <c r="B45" s="248">
        <v>0</v>
      </c>
      <c r="C45" s="248">
        <v>0</v>
      </c>
      <c r="D45" s="270">
        <f>B45-C45</f>
      </c>
      <c r="E45" s="249">
        <v>0</v>
      </c>
      <c r="F45" s="273"/>
      <c r="G45" s="251"/>
      <c r="H45" s="257"/>
      <c r="I45" s="257"/>
      <c r="J45" s="257"/>
      <c r="K45" s="257"/>
      <c r="L45" s="257"/>
      <c r="M45" s="257"/>
      <c r="N45" s="257"/>
      <c r="O45" s="257"/>
      <c r="P45" s="257"/>
      <c r="Q45" s="257"/>
      <c r="R45" s="257"/>
      <c r="S45" s="257"/>
      <c r="T45" s="257"/>
      <c r="U45" s="257"/>
      <c r="V45" s="257"/>
      <c r="W45" s="257"/>
      <c r="X45" s="257"/>
      <c r="Y45" s="257"/>
      <c r="Z45" s="257"/>
    </row>
    <row r="46" ht="45" customHeight="1" spans="1:26" x14ac:dyDescent="0.25">
      <c r="A46" s="274"/>
      <c r="B46" s="248">
        <v>0</v>
      </c>
      <c r="C46" s="248">
        <v>0</v>
      </c>
      <c r="D46" s="270">
        <f>B46-C46</f>
      </c>
      <c r="E46" s="249">
        <v>0</v>
      </c>
      <c r="F46" s="273"/>
      <c r="G46" s="251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</row>
    <row r="47" ht="45" customHeight="1" spans="1:26" x14ac:dyDescent="0.25">
      <c r="A47" s="274"/>
      <c r="B47" s="248">
        <v>0</v>
      </c>
      <c r="C47" s="248">
        <v>0</v>
      </c>
      <c r="D47" s="270">
        <f>B47-C47</f>
      </c>
      <c r="E47" s="249">
        <v>0</v>
      </c>
      <c r="F47" s="273"/>
      <c r="G47" s="251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7"/>
      <c r="X47" s="257"/>
      <c r="Y47" s="257"/>
      <c r="Z47" s="257"/>
    </row>
    <row r="48" ht="45" customHeight="1" spans="1:26" x14ac:dyDescent="0.25">
      <c r="A48" s="274"/>
      <c r="B48" s="248">
        <v>0</v>
      </c>
      <c r="C48" s="248">
        <v>0</v>
      </c>
      <c r="D48" s="270">
        <f>B48-C48</f>
      </c>
      <c r="E48" s="249">
        <v>0</v>
      </c>
      <c r="F48" s="273"/>
      <c r="G48" s="251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</row>
    <row r="49" ht="45" customHeight="1" spans="1:26" x14ac:dyDescent="0.25">
      <c r="A49" s="274"/>
      <c r="B49" s="248">
        <v>0</v>
      </c>
      <c r="C49" s="248">
        <v>0</v>
      </c>
      <c r="D49" s="270">
        <f>B49-C49</f>
      </c>
      <c r="E49" s="249">
        <v>0</v>
      </c>
      <c r="F49" s="273"/>
      <c r="G49" s="251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</row>
    <row r="50" ht="45" customHeight="1" spans="1:26" x14ac:dyDescent="0.25">
      <c r="A50" s="274"/>
      <c r="B50" s="248">
        <v>0</v>
      </c>
      <c r="C50" s="248">
        <v>0</v>
      </c>
      <c r="D50" s="270">
        <f>B50-C50</f>
      </c>
      <c r="E50" s="249">
        <v>0</v>
      </c>
      <c r="F50" s="273"/>
      <c r="G50" s="251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</row>
    <row r="51" ht="45" customHeight="1" spans="1:26" x14ac:dyDescent="0.25">
      <c r="A51" s="274"/>
      <c r="B51" s="248">
        <v>0</v>
      </c>
      <c r="C51" s="248">
        <v>0</v>
      </c>
      <c r="D51" s="270">
        <f>B51-C51</f>
      </c>
      <c r="E51" s="249">
        <v>0</v>
      </c>
      <c r="F51" s="273"/>
      <c r="G51" s="251"/>
      <c r="H51" s="257"/>
      <c r="I51" s="257"/>
      <c r="J51" s="257"/>
      <c r="K51" s="257"/>
      <c r="L51" s="257"/>
      <c r="M51" s="257"/>
      <c r="N51" s="257"/>
      <c r="O51" s="257"/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</row>
    <row r="52" ht="45" customHeight="1" spans="1:26" x14ac:dyDescent="0.25">
      <c r="A52" s="274"/>
      <c r="B52" s="248">
        <v>0</v>
      </c>
      <c r="C52" s="248">
        <v>0</v>
      </c>
      <c r="D52" s="270">
        <f>B52-C52</f>
      </c>
      <c r="E52" s="249">
        <v>0</v>
      </c>
      <c r="F52" s="273"/>
      <c r="G52" s="251"/>
      <c r="H52" s="257"/>
      <c r="I52" s="257"/>
      <c r="J52" s="257"/>
      <c r="K52" s="257"/>
      <c r="L52" s="257"/>
      <c r="M52" s="257"/>
      <c r="N52" s="257"/>
      <c r="O52" s="257"/>
      <c r="P52" s="257"/>
      <c r="Q52" s="257"/>
      <c r="R52" s="257"/>
      <c r="S52" s="257"/>
      <c r="T52" s="257"/>
      <c r="U52" s="257"/>
      <c r="V52" s="257"/>
      <c r="W52" s="257"/>
      <c r="X52" s="257"/>
      <c r="Y52" s="257"/>
      <c r="Z52" s="257"/>
    </row>
    <row r="53" ht="45" customHeight="1" spans="1:26" x14ac:dyDescent="0.25">
      <c r="A53" s="274"/>
      <c r="B53" s="248">
        <v>0</v>
      </c>
      <c r="C53" s="248">
        <v>0</v>
      </c>
      <c r="D53" s="270">
        <f>B53-C53</f>
      </c>
      <c r="E53" s="249">
        <v>0</v>
      </c>
      <c r="F53" s="273"/>
      <c r="G53" s="251"/>
      <c r="H53" s="257"/>
      <c r="I53" s="257"/>
      <c r="J53" s="257"/>
      <c r="K53" s="257"/>
      <c r="L53" s="257"/>
      <c r="M53" s="257"/>
      <c r="N53" s="257"/>
      <c r="O53" s="257"/>
      <c r="P53" s="257"/>
      <c r="Q53" s="257"/>
      <c r="R53" s="257"/>
      <c r="S53" s="257"/>
      <c r="T53" s="257"/>
      <c r="U53" s="257"/>
      <c r="V53" s="257"/>
      <c r="W53" s="257"/>
      <c r="X53" s="257"/>
      <c r="Y53" s="257"/>
      <c r="Z53" s="257"/>
    </row>
    <row r="54" ht="45" customHeight="1" spans="1:26" x14ac:dyDescent="0.25">
      <c r="A54" s="274"/>
      <c r="B54" s="248">
        <v>0</v>
      </c>
      <c r="C54" s="248">
        <v>0</v>
      </c>
      <c r="D54" s="270">
        <f>B54-C54</f>
      </c>
      <c r="E54" s="249">
        <v>0</v>
      </c>
      <c r="F54" s="273"/>
      <c r="G54" s="251"/>
      <c r="H54" s="257"/>
      <c r="I54" s="257"/>
      <c r="J54" s="257"/>
      <c r="K54" s="257"/>
      <c r="L54" s="257"/>
      <c r="M54" s="257"/>
      <c r="N54" s="257"/>
      <c r="O54" s="257"/>
      <c r="P54" s="257"/>
      <c r="Q54" s="257"/>
      <c r="R54" s="257"/>
      <c r="S54" s="257"/>
      <c r="T54" s="257"/>
      <c r="U54" s="257"/>
      <c r="V54" s="257"/>
      <c r="W54" s="257"/>
      <c r="X54" s="257"/>
      <c r="Y54" s="257"/>
      <c r="Z54" s="257"/>
    </row>
    <row r="55" ht="45" customHeight="1" spans="1:26" x14ac:dyDescent="0.25">
      <c r="A55" s="274"/>
      <c r="B55" s="248">
        <v>0</v>
      </c>
      <c r="C55" s="248">
        <v>0</v>
      </c>
      <c r="D55" s="270">
        <f>B55-C55</f>
      </c>
      <c r="E55" s="249">
        <v>0</v>
      </c>
      <c r="F55" s="273"/>
      <c r="G55" s="251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</row>
    <row r="56" ht="45" customHeight="1" spans="1:26" x14ac:dyDescent="0.25">
      <c r="A56" s="274"/>
      <c r="B56" s="248">
        <v>0</v>
      </c>
      <c r="C56" s="248">
        <v>0</v>
      </c>
      <c r="D56" s="270">
        <f>B56-C56</f>
      </c>
      <c r="E56" s="249">
        <v>0</v>
      </c>
      <c r="F56" s="273"/>
      <c r="G56" s="251"/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</row>
    <row r="57" ht="45" customHeight="1" spans="1:26" x14ac:dyDescent="0.25">
      <c r="A57" s="274"/>
      <c r="B57" s="248">
        <v>0</v>
      </c>
      <c r="C57" s="248">
        <v>0</v>
      </c>
      <c r="D57" s="270">
        <f>B57-C57</f>
      </c>
      <c r="E57" s="249">
        <v>0</v>
      </c>
      <c r="F57" s="273"/>
      <c r="G57" s="251"/>
      <c r="H57" s="257"/>
      <c r="I57" s="257"/>
      <c r="J57" s="257"/>
      <c r="K57" s="257"/>
      <c r="L57" s="257"/>
      <c r="M57" s="257"/>
      <c r="N57" s="257"/>
      <c r="O57" s="257"/>
      <c r="P57" s="257"/>
      <c r="Q57" s="257"/>
      <c r="R57" s="257"/>
      <c r="S57" s="257"/>
      <c r="T57" s="257"/>
      <c r="U57" s="257"/>
      <c r="V57" s="257"/>
      <c r="W57" s="257"/>
      <c r="X57" s="257"/>
      <c r="Y57" s="257"/>
      <c r="Z57" s="257"/>
    </row>
    <row r="58" ht="45" customHeight="1" spans="1:26" x14ac:dyDescent="0.25">
      <c r="A58" s="274"/>
      <c r="B58" s="248">
        <v>0</v>
      </c>
      <c r="C58" s="248">
        <v>0</v>
      </c>
      <c r="D58" s="270">
        <f>B58-C58</f>
      </c>
      <c r="E58" s="249">
        <v>0</v>
      </c>
      <c r="F58" s="273"/>
      <c r="G58" s="251"/>
      <c r="H58" s="257"/>
      <c r="I58" s="257"/>
      <c r="J58" s="257"/>
      <c r="K58" s="257"/>
      <c r="L58" s="257"/>
      <c r="M58" s="257"/>
      <c r="N58" s="257"/>
      <c r="O58" s="257"/>
      <c r="P58" s="257"/>
      <c r="Q58" s="257"/>
      <c r="R58" s="257"/>
      <c r="S58" s="257"/>
      <c r="T58" s="257"/>
      <c r="U58" s="257"/>
      <c r="V58" s="257"/>
      <c r="W58" s="257"/>
      <c r="X58" s="257"/>
      <c r="Y58" s="257"/>
      <c r="Z58" s="257"/>
    </row>
    <row r="59" ht="45" customHeight="1" spans="1:26" x14ac:dyDescent="0.25">
      <c r="A59" s="274"/>
      <c r="B59" s="248">
        <v>0</v>
      </c>
      <c r="C59" s="248">
        <v>0</v>
      </c>
      <c r="D59" s="270">
        <f>B59-C59</f>
      </c>
      <c r="E59" s="249">
        <v>0</v>
      </c>
      <c r="F59" s="273"/>
      <c r="G59" s="251"/>
      <c r="H59" s="257"/>
      <c r="I59" s="257"/>
      <c r="J59" s="257"/>
      <c r="K59" s="257"/>
      <c r="L59" s="257"/>
      <c r="M59" s="257"/>
      <c r="N59" s="257"/>
      <c r="O59" s="257"/>
      <c r="P59" s="257"/>
      <c r="Q59" s="257"/>
      <c r="R59" s="257"/>
      <c r="S59" s="257"/>
      <c r="T59" s="257"/>
      <c r="U59" s="257"/>
      <c r="V59" s="257"/>
      <c r="W59" s="257"/>
      <c r="X59" s="257"/>
      <c r="Y59" s="257"/>
      <c r="Z59" s="257"/>
    </row>
    <row r="60" ht="45" customHeight="1" spans="1:26" x14ac:dyDescent="0.25">
      <c r="A60" s="274"/>
      <c r="B60" s="248">
        <v>0</v>
      </c>
      <c r="C60" s="248">
        <v>0</v>
      </c>
      <c r="D60" s="270">
        <f>B60-C60</f>
      </c>
      <c r="E60" s="249">
        <v>0</v>
      </c>
      <c r="F60" s="273"/>
      <c r="G60" s="251"/>
      <c r="H60" s="257"/>
      <c r="I60" s="257"/>
      <c r="J60" s="257"/>
      <c r="K60" s="257"/>
      <c r="L60" s="257"/>
      <c r="M60" s="257"/>
      <c r="N60" s="257"/>
      <c r="O60" s="257"/>
      <c r="P60" s="257"/>
      <c r="Q60" s="257"/>
      <c r="R60" s="257"/>
      <c r="S60" s="257"/>
      <c r="T60" s="257"/>
      <c r="U60" s="257"/>
      <c r="V60" s="257"/>
      <c r="W60" s="257"/>
      <c r="X60" s="257"/>
      <c r="Y60" s="257"/>
      <c r="Z60" s="257"/>
    </row>
    <row r="61" ht="45" customHeight="1" spans="1:26" x14ac:dyDescent="0.25">
      <c r="A61" s="274"/>
      <c r="B61" s="248">
        <v>0</v>
      </c>
      <c r="C61" s="248">
        <v>0</v>
      </c>
      <c r="D61" s="270">
        <f>B61-C61</f>
      </c>
      <c r="E61" s="249">
        <v>0</v>
      </c>
      <c r="F61" s="273"/>
      <c r="G61" s="251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Z61" s="257"/>
    </row>
    <row r="62" ht="45" customHeight="1" spans="1:26" x14ac:dyDescent="0.25">
      <c r="A62" s="274"/>
      <c r="B62" s="248">
        <v>0</v>
      </c>
      <c r="C62" s="248">
        <v>0</v>
      </c>
      <c r="D62" s="270">
        <f>B62-C62</f>
      </c>
      <c r="E62" s="249">
        <v>0</v>
      </c>
      <c r="F62" s="273"/>
      <c r="G62" s="251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7"/>
      <c r="W62" s="257"/>
      <c r="X62" s="257"/>
      <c r="Y62" s="257"/>
      <c r="Z62" s="257"/>
    </row>
    <row r="63" ht="45" customHeight="1" spans="1:26" x14ac:dyDescent="0.25">
      <c r="A63" s="274"/>
      <c r="B63" s="248">
        <v>0</v>
      </c>
      <c r="C63" s="248">
        <v>0</v>
      </c>
      <c r="D63" s="270">
        <f>B63-C63</f>
      </c>
      <c r="E63" s="249">
        <v>0</v>
      </c>
      <c r="F63" s="273"/>
      <c r="G63" s="251"/>
      <c r="H63" s="257"/>
      <c r="I63" s="257"/>
      <c r="J63" s="257"/>
      <c r="K63" s="257"/>
      <c r="L63" s="257"/>
      <c r="M63" s="257"/>
      <c r="N63" s="257"/>
      <c r="O63" s="257"/>
      <c r="P63" s="257"/>
      <c r="Q63" s="257"/>
      <c r="R63" s="257"/>
      <c r="S63" s="257"/>
      <c r="T63" s="257"/>
      <c r="U63" s="257"/>
      <c r="V63" s="257"/>
      <c r="W63" s="257"/>
      <c r="X63" s="257"/>
      <c r="Y63" s="257"/>
      <c r="Z63" s="257"/>
    </row>
    <row r="64" ht="45" customHeight="1" spans="1:26" x14ac:dyDescent="0.25">
      <c r="A64" s="274"/>
      <c r="B64" s="248">
        <v>0</v>
      </c>
      <c r="C64" s="248">
        <v>0</v>
      </c>
      <c r="D64" s="270">
        <f>B64-C64</f>
      </c>
      <c r="E64" s="249">
        <v>0</v>
      </c>
      <c r="F64" s="273"/>
      <c r="G64" s="251"/>
      <c r="H64" s="257"/>
      <c r="I64" s="257"/>
      <c r="J64" s="257"/>
      <c r="K64" s="257"/>
      <c r="L64" s="257"/>
      <c r="M64" s="257"/>
      <c r="N64" s="257"/>
      <c r="O64" s="257"/>
      <c r="P64" s="257"/>
      <c r="Q64" s="257"/>
      <c r="R64" s="257"/>
      <c r="S64" s="257"/>
      <c r="T64" s="257"/>
      <c r="U64" s="257"/>
      <c r="V64" s="257"/>
      <c r="W64" s="257"/>
      <c r="X64" s="257"/>
      <c r="Y64" s="257"/>
      <c r="Z64" s="257"/>
    </row>
    <row r="65" ht="45" customHeight="1" spans="1:26" x14ac:dyDescent="0.25">
      <c r="A65" s="274"/>
      <c r="B65" s="248">
        <v>0</v>
      </c>
      <c r="C65" s="248">
        <v>0</v>
      </c>
      <c r="D65" s="270">
        <f>B65-C65</f>
      </c>
      <c r="E65" s="249">
        <v>0</v>
      </c>
      <c r="F65" s="273"/>
      <c r="G65" s="251"/>
      <c r="H65" s="257"/>
      <c r="I65" s="257"/>
      <c r="J65" s="257"/>
      <c r="K65" s="257"/>
      <c r="L65" s="257"/>
      <c r="M65" s="257"/>
      <c r="N65" s="257"/>
      <c r="O65" s="257"/>
      <c r="P65" s="257"/>
      <c r="Q65" s="257"/>
      <c r="R65" s="257"/>
      <c r="S65" s="257"/>
      <c r="T65" s="257"/>
      <c r="U65" s="257"/>
      <c r="V65" s="257"/>
      <c r="W65" s="257"/>
      <c r="X65" s="257"/>
      <c r="Y65" s="257"/>
      <c r="Z65" s="257"/>
    </row>
    <row r="66" ht="45" customHeight="1" spans="1:26" x14ac:dyDescent="0.25">
      <c r="A66" s="274"/>
      <c r="B66" s="248">
        <v>0</v>
      </c>
      <c r="C66" s="248">
        <v>0</v>
      </c>
      <c r="D66" s="270">
        <f>B66-C66</f>
      </c>
      <c r="E66" s="249">
        <v>0</v>
      </c>
      <c r="F66" s="273"/>
      <c r="G66" s="251"/>
      <c r="H66" s="257"/>
      <c r="I66" s="257"/>
      <c r="J66" s="257"/>
      <c r="K66" s="257"/>
      <c r="L66" s="257"/>
      <c r="M66" s="257"/>
      <c r="N66" s="257"/>
      <c r="O66" s="257"/>
      <c r="P66" s="257"/>
      <c r="Q66" s="257"/>
      <c r="R66" s="257"/>
      <c r="S66" s="257"/>
      <c r="T66" s="257"/>
      <c r="U66" s="257"/>
      <c r="V66" s="257"/>
      <c r="W66" s="257"/>
      <c r="X66" s="257"/>
      <c r="Y66" s="257"/>
      <c r="Z66" s="257"/>
    </row>
    <row r="67" ht="45" customHeight="1" spans="1:26" x14ac:dyDescent="0.25">
      <c r="A67" s="274"/>
      <c r="B67" s="248">
        <v>0</v>
      </c>
      <c r="C67" s="248">
        <v>0</v>
      </c>
      <c r="D67" s="270">
        <f>B67-C67</f>
      </c>
      <c r="E67" s="249">
        <v>0</v>
      </c>
      <c r="F67" s="273"/>
      <c r="G67" s="251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Z67" s="257"/>
    </row>
    <row r="68" ht="45" customHeight="1" spans="1:26" x14ac:dyDescent="0.25">
      <c r="A68" s="274"/>
      <c r="B68" s="248">
        <v>0</v>
      </c>
      <c r="C68" s="248">
        <v>0</v>
      </c>
      <c r="D68" s="270">
        <f>B68-C68</f>
      </c>
      <c r="E68" s="249">
        <v>0</v>
      </c>
      <c r="F68" s="273"/>
      <c r="G68" s="251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7"/>
      <c r="S68" s="257"/>
      <c r="T68" s="257"/>
      <c r="U68" s="257"/>
      <c r="V68" s="257"/>
      <c r="W68" s="257"/>
      <c r="X68" s="257"/>
      <c r="Y68" s="257"/>
      <c r="Z68" s="257"/>
    </row>
    <row r="69" ht="45" customHeight="1" spans="1:26" x14ac:dyDescent="0.25">
      <c r="A69" s="274"/>
      <c r="B69" s="248">
        <v>0</v>
      </c>
      <c r="C69" s="248">
        <v>0</v>
      </c>
      <c r="D69" s="270">
        <f>B69-C69</f>
      </c>
      <c r="E69" s="249">
        <v>0</v>
      </c>
      <c r="F69" s="273"/>
      <c r="G69" s="251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7"/>
      <c r="S69" s="257"/>
      <c r="T69" s="257"/>
      <c r="U69" s="257"/>
      <c r="V69" s="257"/>
      <c r="W69" s="257"/>
      <c r="X69" s="257"/>
      <c r="Y69" s="257"/>
      <c r="Z69" s="257"/>
    </row>
    <row r="70" ht="45" customHeight="1" spans="1:26" x14ac:dyDescent="0.25">
      <c r="A70" s="274"/>
      <c r="B70" s="248">
        <v>0</v>
      </c>
      <c r="C70" s="248">
        <v>0</v>
      </c>
      <c r="D70" s="270">
        <f>B70-C70</f>
      </c>
      <c r="E70" s="249">
        <v>0</v>
      </c>
      <c r="F70" s="273"/>
      <c r="G70" s="251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Z70" s="257"/>
    </row>
    <row r="71" ht="45" customHeight="1" spans="1:26" x14ac:dyDescent="0.25">
      <c r="A71" s="274"/>
      <c r="B71" s="248">
        <v>0</v>
      </c>
      <c r="C71" s="248">
        <v>0</v>
      </c>
      <c r="D71" s="270">
        <f>B71-C71</f>
      </c>
      <c r="E71" s="249">
        <v>0</v>
      </c>
      <c r="F71" s="273"/>
      <c r="G71" s="251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</row>
    <row r="72" ht="45" customHeight="1" spans="1:26" x14ac:dyDescent="0.25">
      <c r="A72" s="274"/>
      <c r="B72" s="248">
        <v>0</v>
      </c>
      <c r="C72" s="248">
        <v>0</v>
      </c>
      <c r="D72" s="270">
        <f>B72-C72</f>
      </c>
      <c r="E72" s="249">
        <v>0</v>
      </c>
      <c r="F72" s="273"/>
      <c r="G72" s="251"/>
      <c r="H72" s="257"/>
      <c r="I72" s="257"/>
      <c r="J72" s="257"/>
      <c r="K72" s="257"/>
      <c r="L72" s="257"/>
      <c r="M72" s="257"/>
      <c r="N72" s="257"/>
      <c r="O72" s="257"/>
      <c r="P72" s="257"/>
      <c r="Q72" s="257"/>
      <c r="R72" s="257"/>
      <c r="S72" s="257"/>
      <c r="T72" s="257"/>
      <c r="U72" s="257"/>
      <c r="V72" s="257"/>
      <c r="W72" s="257"/>
      <c r="X72" s="257"/>
      <c r="Y72" s="257"/>
      <c r="Z72" s="257"/>
    </row>
    <row r="73" ht="45" customHeight="1" spans="1:26" x14ac:dyDescent="0.25">
      <c r="A73" s="274"/>
      <c r="B73" s="248">
        <v>0</v>
      </c>
      <c r="C73" s="248">
        <v>0</v>
      </c>
      <c r="D73" s="270">
        <f>B73-C73</f>
      </c>
      <c r="E73" s="249">
        <v>0</v>
      </c>
      <c r="F73" s="273"/>
      <c r="G73" s="251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</row>
    <row r="74" ht="45" customHeight="1" spans="1:26" x14ac:dyDescent="0.25">
      <c r="A74" s="274"/>
      <c r="B74" s="248">
        <v>0</v>
      </c>
      <c r="C74" s="248">
        <v>0</v>
      </c>
      <c r="D74" s="270">
        <f>B74-C74</f>
      </c>
      <c r="E74" s="249">
        <v>0</v>
      </c>
      <c r="F74" s="273"/>
      <c r="G74" s="251"/>
      <c r="H74" s="257"/>
      <c r="I74" s="257"/>
      <c r="J74" s="257"/>
      <c r="K74" s="257"/>
      <c r="L74" s="257"/>
      <c r="M74" s="257"/>
      <c r="N74" s="257"/>
      <c r="O74" s="257"/>
      <c r="P74" s="257"/>
      <c r="Q74" s="257"/>
      <c r="R74" s="257"/>
      <c r="S74" s="257"/>
      <c r="T74" s="257"/>
      <c r="U74" s="257"/>
      <c r="V74" s="257"/>
      <c r="W74" s="257"/>
      <c r="X74" s="257"/>
      <c r="Y74" s="257"/>
      <c r="Z74" s="257"/>
    </row>
    <row r="75" ht="45" customHeight="1" spans="1:26" x14ac:dyDescent="0.25">
      <c r="A75" s="274"/>
      <c r="B75" s="248">
        <v>0</v>
      </c>
      <c r="C75" s="248">
        <v>0</v>
      </c>
      <c r="D75" s="270">
        <f>B75-C75</f>
      </c>
      <c r="E75" s="249">
        <v>0</v>
      </c>
      <c r="F75" s="273"/>
      <c r="G75" s="251"/>
      <c r="H75" s="257"/>
      <c r="I75" s="257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</row>
    <row r="76" ht="45" customHeight="1" spans="1:26" x14ac:dyDescent="0.25">
      <c r="A76" s="274"/>
      <c r="B76" s="248">
        <v>0</v>
      </c>
      <c r="C76" s="248">
        <v>0</v>
      </c>
      <c r="D76" s="270">
        <f>B76-C76</f>
      </c>
      <c r="E76" s="249">
        <v>0</v>
      </c>
      <c r="F76" s="273"/>
      <c r="G76" s="251"/>
      <c r="H76" s="257"/>
      <c r="I76" s="257"/>
      <c r="J76" s="257"/>
      <c r="K76" s="257"/>
      <c r="L76" s="257"/>
      <c r="M76" s="257"/>
      <c r="N76" s="257"/>
      <c r="O76" s="257"/>
      <c r="P76" s="257"/>
      <c r="Q76" s="257"/>
      <c r="R76" s="257"/>
      <c r="S76" s="257"/>
      <c r="T76" s="257"/>
      <c r="U76" s="257"/>
      <c r="V76" s="257"/>
      <c r="W76" s="257"/>
      <c r="X76" s="257"/>
      <c r="Y76" s="257"/>
      <c r="Z76" s="257"/>
    </row>
    <row r="77" ht="45" customHeight="1" spans="1:26" x14ac:dyDescent="0.25">
      <c r="A77" s="274"/>
      <c r="B77" s="248">
        <v>0</v>
      </c>
      <c r="C77" s="248">
        <v>0</v>
      </c>
      <c r="D77" s="270">
        <f>B77-C77</f>
      </c>
      <c r="E77" s="249">
        <v>0</v>
      </c>
      <c r="F77" s="273"/>
      <c r="G77" s="251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7"/>
      <c r="S77" s="257"/>
      <c r="T77" s="257"/>
      <c r="U77" s="257"/>
      <c r="V77" s="257"/>
      <c r="W77" s="257"/>
      <c r="X77" s="257"/>
      <c r="Y77" s="257"/>
      <c r="Z77" s="257"/>
    </row>
    <row r="78" ht="45" customHeight="1" spans="1:26" x14ac:dyDescent="0.25">
      <c r="A78" s="274"/>
      <c r="B78" s="248">
        <v>0</v>
      </c>
      <c r="C78" s="248">
        <v>0</v>
      </c>
      <c r="D78" s="270">
        <f>B78-C78</f>
      </c>
      <c r="E78" s="249">
        <v>0</v>
      </c>
      <c r="F78" s="273"/>
      <c r="G78" s="251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7"/>
      <c r="S78" s="257"/>
      <c r="T78" s="257"/>
      <c r="U78" s="257"/>
      <c r="V78" s="257"/>
      <c r="W78" s="257"/>
      <c r="X78" s="257"/>
      <c r="Y78" s="257"/>
      <c r="Z78" s="257"/>
    </row>
    <row r="79" ht="14.25" customHeight="1" spans="1:26" x14ac:dyDescent="0.25">
      <c r="A79" s="276" t="s">
        <v>163</v>
      </c>
      <c r="B79" s="277">
        <f>SUM(B80:B119)</f>
      </c>
      <c r="C79" s="277">
        <f>SUM(C80:C119)</f>
      </c>
      <c r="D79" s="277">
        <f>B79-C79</f>
      </c>
      <c r="E79" s="278">
        <f>D79/C79</f>
      </c>
      <c r="F79" s="279"/>
      <c r="G79" s="280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</row>
    <row r="80" ht="36" customHeight="1" spans="1:26" x14ac:dyDescent="0.25">
      <c r="A80" s="282"/>
      <c r="B80" s="283">
        <v>0</v>
      </c>
      <c r="C80" s="248">
        <v>0</v>
      </c>
      <c r="D80" s="248">
        <f>B80-C80</f>
      </c>
      <c r="E80" s="249">
        <v>0</v>
      </c>
      <c r="F80" s="273"/>
      <c r="G80" s="251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</row>
    <row r="81" ht="36" customHeight="1" spans="1:26" x14ac:dyDescent="0.25">
      <c r="A81" s="282"/>
      <c r="B81" s="283">
        <v>0</v>
      </c>
      <c r="C81" s="248">
        <v>0</v>
      </c>
      <c r="D81" s="248">
        <f>B81-C81</f>
      </c>
      <c r="E81" s="249">
        <v>0</v>
      </c>
      <c r="F81" s="273"/>
      <c r="G81" s="251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</row>
    <row r="82" ht="36" customHeight="1" spans="1:26" x14ac:dyDescent="0.25">
      <c r="A82" s="282"/>
      <c r="B82" s="283">
        <v>0</v>
      </c>
      <c r="C82" s="248">
        <v>0</v>
      </c>
      <c r="D82" s="248">
        <f>B82-C82</f>
      </c>
      <c r="E82" s="249">
        <v>0</v>
      </c>
      <c r="F82" s="273"/>
      <c r="G82" s="251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Z82" s="257"/>
    </row>
    <row r="83" ht="36" customHeight="1" spans="1:26" x14ac:dyDescent="0.25">
      <c r="A83" s="282"/>
      <c r="B83" s="283">
        <v>0</v>
      </c>
      <c r="C83" s="248">
        <v>0</v>
      </c>
      <c r="D83" s="248">
        <f>B83-C83</f>
      </c>
      <c r="E83" s="249">
        <v>0</v>
      </c>
      <c r="F83" s="273"/>
      <c r="G83" s="251"/>
      <c r="H83" s="257"/>
      <c r="I83" s="257"/>
      <c r="J83" s="257"/>
      <c r="K83" s="257"/>
      <c r="L83" s="257"/>
      <c r="M83" s="257"/>
      <c r="N83" s="257"/>
      <c r="O83" s="257"/>
      <c r="P83" s="257"/>
      <c r="Q83" s="257"/>
      <c r="R83" s="257"/>
      <c r="S83" s="257"/>
      <c r="T83" s="257"/>
      <c r="U83" s="257"/>
      <c r="V83" s="257"/>
      <c r="W83" s="257"/>
      <c r="X83" s="257"/>
      <c r="Y83" s="257"/>
      <c r="Z83" s="257"/>
    </row>
    <row r="84" ht="36" customHeight="1" spans="1:26" x14ac:dyDescent="0.25">
      <c r="A84" s="282"/>
      <c r="B84" s="283">
        <v>0</v>
      </c>
      <c r="C84" s="248">
        <v>0</v>
      </c>
      <c r="D84" s="248">
        <f>B84-C84</f>
      </c>
      <c r="E84" s="249">
        <v>0</v>
      </c>
      <c r="F84" s="273"/>
      <c r="G84" s="251"/>
      <c r="H84" s="257"/>
      <c r="I84" s="257"/>
      <c r="J84" s="257"/>
      <c r="K84" s="257"/>
      <c r="L84" s="257"/>
      <c r="M84" s="257"/>
      <c r="N84" s="257"/>
      <c r="O84" s="257"/>
      <c r="P84" s="257"/>
      <c r="Q84" s="257"/>
      <c r="R84" s="257"/>
      <c r="S84" s="257"/>
      <c r="T84" s="257"/>
      <c r="U84" s="257"/>
      <c r="V84" s="257"/>
      <c r="W84" s="257"/>
      <c r="X84" s="257"/>
      <c r="Y84" s="257"/>
      <c r="Z84" s="257"/>
    </row>
    <row r="85" ht="36" customHeight="1" spans="1:26" x14ac:dyDescent="0.25">
      <c r="A85" s="282"/>
      <c r="B85" s="283">
        <v>0</v>
      </c>
      <c r="C85" s="248">
        <v>0</v>
      </c>
      <c r="D85" s="248">
        <f>B85-C85</f>
      </c>
      <c r="E85" s="249">
        <v>0</v>
      </c>
      <c r="F85" s="273"/>
      <c r="G85" s="251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7"/>
      <c r="S85" s="257"/>
      <c r="T85" s="257"/>
      <c r="U85" s="257"/>
      <c r="V85" s="257"/>
      <c r="W85" s="257"/>
      <c r="X85" s="257"/>
      <c r="Y85" s="257"/>
      <c r="Z85" s="257"/>
    </row>
    <row r="86" ht="36" customHeight="1" spans="1:26" x14ac:dyDescent="0.25">
      <c r="A86" s="282"/>
      <c r="B86" s="283">
        <v>0</v>
      </c>
      <c r="C86" s="248">
        <v>0</v>
      </c>
      <c r="D86" s="248">
        <f>B86-C86</f>
      </c>
      <c r="E86" s="249">
        <v>0</v>
      </c>
      <c r="F86" s="273"/>
      <c r="G86" s="251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</row>
    <row r="87" ht="36" customHeight="1" spans="1:26" x14ac:dyDescent="0.25">
      <c r="A87" s="282"/>
      <c r="B87" s="283">
        <v>0</v>
      </c>
      <c r="C87" s="248">
        <v>0</v>
      </c>
      <c r="D87" s="248">
        <f>B87-C87</f>
      </c>
      <c r="E87" s="249">
        <v>0</v>
      </c>
      <c r="F87" s="273"/>
      <c r="G87" s="251"/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</row>
    <row r="88" ht="36" customHeight="1" spans="1:26" x14ac:dyDescent="0.25">
      <c r="A88" s="282"/>
      <c r="B88" s="283">
        <v>0</v>
      </c>
      <c r="C88" s="248">
        <v>0</v>
      </c>
      <c r="D88" s="248">
        <f>B88-C88</f>
      </c>
      <c r="E88" s="249">
        <v>0</v>
      </c>
      <c r="F88" s="273"/>
      <c r="G88" s="251"/>
      <c r="H88" s="257"/>
      <c r="I88" s="257"/>
      <c r="J88" s="257"/>
      <c r="K88" s="257"/>
      <c r="L88" s="257"/>
      <c r="M88" s="257"/>
      <c r="N88" s="257"/>
      <c r="O88" s="257"/>
      <c r="P88" s="257"/>
      <c r="Q88" s="257"/>
      <c r="R88" s="257"/>
      <c r="S88" s="257"/>
      <c r="T88" s="257"/>
      <c r="U88" s="257"/>
      <c r="V88" s="257"/>
      <c r="W88" s="257"/>
      <c r="X88" s="257"/>
      <c r="Y88" s="257"/>
      <c r="Z88" s="257"/>
    </row>
    <row r="89" ht="36" customHeight="1" spans="1:26" x14ac:dyDescent="0.25">
      <c r="A89" s="282"/>
      <c r="B89" s="283">
        <v>0</v>
      </c>
      <c r="C89" s="248">
        <v>0</v>
      </c>
      <c r="D89" s="248">
        <f>B89-C89</f>
      </c>
      <c r="E89" s="249">
        <v>0</v>
      </c>
      <c r="F89" s="273"/>
      <c r="G89" s="251"/>
      <c r="H89" s="257"/>
      <c r="I89" s="257"/>
      <c r="J89" s="257"/>
      <c r="K89" s="257"/>
      <c r="L89" s="257"/>
      <c r="M89" s="257"/>
      <c r="N89" s="257"/>
      <c r="O89" s="257"/>
      <c r="P89" s="257"/>
      <c r="Q89" s="257"/>
      <c r="R89" s="257"/>
      <c r="S89" s="257"/>
      <c r="T89" s="257"/>
      <c r="U89" s="257"/>
      <c r="V89" s="257"/>
      <c r="W89" s="257"/>
      <c r="X89" s="257"/>
      <c r="Y89" s="257"/>
      <c r="Z89" s="257"/>
    </row>
    <row r="90" ht="36" customHeight="1" spans="1:26" x14ac:dyDescent="0.25">
      <c r="A90" s="282"/>
      <c r="B90" s="283">
        <v>0</v>
      </c>
      <c r="C90" s="248">
        <v>0</v>
      </c>
      <c r="D90" s="248">
        <f>B90-C90</f>
      </c>
      <c r="E90" s="249">
        <v>0</v>
      </c>
      <c r="F90" s="273"/>
      <c r="G90" s="251"/>
      <c r="H90" s="257"/>
      <c r="I90" s="257"/>
      <c r="J90" s="257"/>
      <c r="K90" s="257"/>
      <c r="L90" s="257"/>
      <c r="M90" s="257"/>
      <c r="N90" s="257"/>
      <c r="O90" s="257"/>
      <c r="P90" s="257"/>
      <c r="Q90" s="257"/>
      <c r="R90" s="257"/>
      <c r="S90" s="257"/>
      <c r="T90" s="257"/>
      <c r="U90" s="257"/>
      <c r="V90" s="257"/>
      <c r="W90" s="257"/>
      <c r="X90" s="257"/>
      <c r="Y90" s="257"/>
      <c r="Z90" s="257"/>
    </row>
    <row r="91" ht="36" customHeight="1" spans="1:26" x14ac:dyDescent="0.25">
      <c r="A91" s="282"/>
      <c r="B91" s="283">
        <v>0</v>
      </c>
      <c r="C91" s="248">
        <v>0</v>
      </c>
      <c r="D91" s="248">
        <f>B91-C91</f>
      </c>
      <c r="E91" s="249">
        <v>0</v>
      </c>
      <c r="F91" s="273"/>
      <c r="G91" s="251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ht="36" customHeight="1" spans="1:26" x14ac:dyDescent="0.25">
      <c r="A92" s="282"/>
      <c r="B92" s="283">
        <v>0</v>
      </c>
      <c r="C92" s="248">
        <v>0</v>
      </c>
      <c r="D92" s="248">
        <f>B92-C92</f>
      </c>
      <c r="E92" s="249">
        <v>0</v>
      </c>
      <c r="F92" s="273"/>
      <c r="G92" s="251"/>
      <c r="H92" s="257"/>
      <c r="I92" s="257"/>
      <c r="J92" s="257"/>
      <c r="K92" s="257"/>
      <c r="L92" s="257"/>
      <c r="M92" s="257"/>
      <c r="N92" s="257"/>
      <c r="O92" s="257"/>
      <c r="P92" s="257"/>
      <c r="Q92" s="257"/>
      <c r="R92" s="257"/>
      <c r="S92" s="257"/>
      <c r="T92" s="257"/>
      <c r="U92" s="257"/>
      <c r="V92" s="257"/>
      <c r="W92" s="257"/>
      <c r="X92" s="257"/>
      <c r="Y92" s="257"/>
      <c r="Z92" s="257"/>
    </row>
    <row r="93" ht="36" customHeight="1" spans="1:26" x14ac:dyDescent="0.25">
      <c r="A93" s="282"/>
      <c r="B93" s="283">
        <v>0</v>
      </c>
      <c r="C93" s="248">
        <v>0</v>
      </c>
      <c r="D93" s="248">
        <f>B93-C93</f>
      </c>
      <c r="E93" s="249">
        <v>0</v>
      </c>
      <c r="F93" s="273"/>
      <c r="G93" s="251"/>
      <c r="H93" s="257"/>
      <c r="I93" s="257"/>
      <c r="J93" s="257"/>
      <c r="K93" s="257"/>
      <c r="L93" s="257"/>
      <c r="M93" s="257"/>
      <c r="N93" s="257"/>
      <c r="O93" s="257"/>
      <c r="P93" s="257"/>
      <c r="Q93" s="257"/>
      <c r="R93" s="257"/>
      <c r="S93" s="257"/>
      <c r="T93" s="257"/>
      <c r="U93" s="257"/>
      <c r="V93" s="257"/>
      <c r="W93" s="257"/>
      <c r="X93" s="257"/>
      <c r="Y93" s="257"/>
      <c r="Z93" s="257"/>
    </row>
    <row r="94" ht="36" customHeight="1" spans="1:26" x14ac:dyDescent="0.25">
      <c r="A94" s="282"/>
      <c r="B94" s="283">
        <v>0</v>
      </c>
      <c r="C94" s="248">
        <v>0</v>
      </c>
      <c r="D94" s="248">
        <f>B94-C94</f>
      </c>
      <c r="E94" s="249">
        <v>0</v>
      </c>
      <c r="F94" s="273"/>
      <c r="G94" s="251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Z94" s="257"/>
    </row>
    <row r="95" ht="36" customHeight="1" spans="1:26" x14ac:dyDescent="0.25">
      <c r="A95" s="282"/>
      <c r="B95" s="283">
        <v>0</v>
      </c>
      <c r="C95" s="248">
        <v>0</v>
      </c>
      <c r="D95" s="248">
        <f>B95-C95</f>
      </c>
      <c r="E95" s="249">
        <v>0</v>
      </c>
      <c r="F95" s="273"/>
      <c r="G95" s="251"/>
      <c r="H95" s="257"/>
      <c r="I95" s="257"/>
      <c r="J95" s="257"/>
      <c r="K95" s="257"/>
      <c r="L95" s="257"/>
      <c r="M95" s="257"/>
      <c r="N95" s="257"/>
      <c r="O95" s="257"/>
      <c r="P95" s="257"/>
      <c r="Q95" s="257"/>
      <c r="R95" s="257"/>
      <c r="S95" s="257"/>
      <c r="T95" s="257"/>
      <c r="U95" s="257"/>
      <c r="V95" s="257"/>
      <c r="W95" s="257"/>
      <c r="X95" s="257"/>
      <c r="Y95" s="257"/>
      <c r="Z95" s="257"/>
    </row>
    <row r="96" ht="36" customHeight="1" spans="1:26" x14ac:dyDescent="0.25">
      <c r="A96" s="282"/>
      <c r="B96" s="283">
        <v>0</v>
      </c>
      <c r="C96" s="248">
        <v>0</v>
      </c>
      <c r="D96" s="248">
        <f>B96-C96</f>
      </c>
      <c r="E96" s="249">
        <v>0</v>
      </c>
      <c r="F96" s="273"/>
      <c r="G96" s="251"/>
      <c r="H96" s="257"/>
      <c r="I96" s="257"/>
      <c r="J96" s="257"/>
      <c r="K96" s="257"/>
      <c r="L96" s="257"/>
      <c r="M96" s="257"/>
      <c r="N96" s="257"/>
      <c r="O96" s="257"/>
      <c r="P96" s="257"/>
      <c r="Q96" s="257"/>
      <c r="R96" s="257"/>
      <c r="S96" s="257"/>
      <c r="T96" s="257"/>
      <c r="U96" s="257"/>
      <c r="V96" s="257"/>
      <c r="W96" s="257"/>
      <c r="X96" s="257"/>
      <c r="Y96" s="257"/>
      <c r="Z96" s="257"/>
    </row>
    <row r="97" ht="36" customHeight="1" spans="1:26" x14ac:dyDescent="0.25">
      <c r="A97" s="282"/>
      <c r="B97" s="283">
        <v>0</v>
      </c>
      <c r="C97" s="248">
        <v>0</v>
      </c>
      <c r="D97" s="248">
        <f>B97-C97</f>
      </c>
      <c r="E97" s="249">
        <v>0</v>
      </c>
      <c r="F97" s="273"/>
      <c r="G97" s="251"/>
      <c r="H97" s="257"/>
      <c r="I97" s="257"/>
      <c r="J97" s="257"/>
      <c r="K97" s="257"/>
      <c r="L97" s="257"/>
      <c r="M97" s="257"/>
      <c r="N97" s="257"/>
      <c r="O97" s="257"/>
      <c r="P97" s="257"/>
      <c r="Q97" s="257"/>
      <c r="R97" s="257"/>
      <c r="S97" s="257"/>
      <c r="T97" s="257"/>
      <c r="U97" s="257"/>
      <c r="V97" s="257"/>
      <c r="W97" s="257"/>
      <c r="X97" s="257"/>
      <c r="Y97" s="257"/>
      <c r="Z97" s="257"/>
    </row>
    <row r="98" ht="36" customHeight="1" spans="1:26" x14ac:dyDescent="0.25">
      <c r="A98" s="282"/>
      <c r="B98" s="283">
        <v>0</v>
      </c>
      <c r="C98" s="248">
        <v>0</v>
      </c>
      <c r="D98" s="248">
        <f>B98-C98</f>
      </c>
      <c r="E98" s="249">
        <v>0</v>
      </c>
      <c r="F98" s="273"/>
      <c r="G98" s="251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Z98" s="257"/>
    </row>
    <row r="99" ht="36" customHeight="1" spans="1:26" x14ac:dyDescent="0.25">
      <c r="A99" s="282"/>
      <c r="B99" s="283">
        <v>0</v>
      </c>
      <c r="C99" s="248">
        <v>0</v>
      </c>
      <c r="D99" s="248">
        <f>B99-C99</f>
      </c>
      <c r="E99" s="249">
        <v>0</v>
      </c>
      <c r="F99" s="273"/>
      <c r="G99" s="251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7"/>
      <c r="S99" s="257"/>
      <c r="T99" s="257"/>
      <c r="U99" s="257"/>
      <c r="V99" s="257"/>
      <c r="W99" s="257"/>
      <c r="X99" s="257"/>
      <c r="Y99" s="257"/>
      <c r="Z99" s="257"/>
    </row>
    <row r="100" ht="36" customHeight="1" spans="1:26" x14ac:dyDescent="0.25">
      <c r="A100" s="282"/>
      <c r="B100" s="283">
        <v>0</v>
      </c>
      <c r="C100" s="248">
        <v>0</v>
      </c>
      <c r="D100" s="248">
        <f>B100-C100</f>
      </c>
      <c r="E100" s="249">
        <v>0</v>
      </c>
      <c r="F100" s="273"/>
      <c r="G100" s="251"/>
      <c r="H100" s="257"/>
      <c r="I100" s="257"/>
      <c r="J100" s="257"/>
      <c r="K100" s="257"/>
      <c r="L100" s="257"/>
      <c r="M100" s="257"/>
      <c r="N100" s="257"/>
      <c r="O100" s="257"/>
      <c r="P100" s="257"/>
      <c r="Q100" s="257"/>
      <c r="R100" s="257"/>
      <c r="S100" s="257"/>
      <c r="T100" s="257"/>
      <c r="U100" s="257"/>
      <c r="V100" s="257"/>
      <c r="W100" s="257"/>
      <c r="X100" s="257"/>
      <c r="Y100" s="257"/>
      <c r="Z100" s="257"/>
    </row>
    <row r="101" ht="36" customHeight="1" spans="1:26" x14ac:dyDescent="0.25">
      <c r="A101" s="282"/>
      <c r="B101" s="283">
        <v>0</v>
      </c>
      <c r="C101" s="248">
        <v>0</v>
      </c>
      <c r="D101" s="248">
        <f>B101-C101</f>
      </c>
      <c r="E101" s="249">
        <v>0</v>
      </c>
      <c r="F101" s="273"/>
      <c r="G101" s="251"/>
      <c r="H101" s="257"/>
      <c r="I101" s="257"/>
      <c r="J101" s="257"/>
      <c r="K101" s="257"/>
      <c r="L101" s="257"/>
      <c r="M101" s="257"/>
      <c r="N101" s="257"/>
      <c r="O101" s="257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</row>
    <row r="102" ht="36" customHeight="1" spans="1:26" x14ac:dyDescent="0.25">
      <c r="A102" s="282"/>
      <c r="B102" s="283">
        <v>0</v>
      </c>
      <c r="C102" s="248">
        <v>0</v>
      </c>
      <c r="D102" s="248">
        <f>B102-C102</f>
      </c>
      <c r="E102" s="249">
        <v>0</v>
      </c>
      <c r="F102" s="273"/>
      <c r="G102" s="251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</row>
    <row r="103" ht="36" customHeight="1" spans="1:26" x14ac:dyDescent="0.25">
      <c r="A103" s="282"/>
      <c r="B103" s="283">
        <v>0</v>
      </c>
      <c r="C103" s="248">
        <v>0</v>
      </c>
      <c r="D103" s="248">
        <f>B103-C103</f>
      </c>
      <c r="E103" s="249">
        <v>0</v>
      </c>
      <c r="F103" s="273"/>
      <c r="G103" s="251"/>
      <c r="H103" s="257"/>
      <c r="I103" s="257"/>
      <c r="J103" s="257"/>
      <c r="K103" s="257"/>
      <c r="L103" s="257"/>
      <c r="M103" s="257"/>
      <c r="N103" s="257"/>
      <c r="O103" s="257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</row>
    <row r="104" ht="36" customHeight="1" spans="1:26" x14ac:dyDescent="0.25">
      <c r="A104" s="282"/>
      <c r="B104" s="283">
        <v>0</v>
      </c>
      <c r="C104" s="248">
        <v>0</v>
      </c>
      <c r="D104" s="248">
        <f>B104-C104</f>
      </c>
      <c r="E104" s="249">
        <v>0</v>
      </c>
      <c r="F104" s="273"/>
      <c r="G104" s="251"/>
      <c r="H104" s="257"/>
      <c r="I104" s="257"/>
      <c r="J104" s="257"/>
      <c r="K104" s="257"/>
      <c r="L104" s="257"/>
      <c r="M104" s="257"/>
      <c r="N104" s="257"/>
      <c r="O104" s="257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</row>
    <row r="105" ht="36" customHeight="1" spans="1:26" x14ac:dyDescent="0.25">
      <c r="A105" s="282"/>
      <c r="B105" s="283">
        <v>0</v>
      </c>
      <c r="C105" s="248">
        <v>0</v>
      </c>
      <c r="D105" s="248">
        <f>B105-C105</f>
      </c>
      <c r="E105" s="249">
        <v>0</v>
      </c>
      <c r="F105" s="273"/>
      <c r="G105" s="251"/>
      <c r="H105" s="257"/>
      <c r="I105" s="257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</row>
    <row r="106" ht="36" customHeight="1" spans="1:26" x14ac:dyDescent="0.25">
      <c r="A106" s="282"/>
      <c r="B106" s="283">
        <v>0</v>
      </c>
      <c r="C106" s="248">
        <v>0</v>
      </c>
      <c r="D106" s="248">
        <f>B106-C106</f>
      </c>
      <c r="E106" s="249">
        <v>0</v>
      </c>
      <c r="F106" s="273"/>
      <c r="G106" s="251"/>
      <c r="H106" s="257"/>
      <c r="I106" s="257"/>
      <c r="J106" s="257"/>
      <c r="K106" s="257"/>
      <c r="L106" s="257"/>
      <c r="M106" s="257"/>
      <c r="N106" s="257"/>
      <c r="O106" s="257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</row>
    <row r="107" ht="36" customHeight="1" spans="1:26" x14ac:dyDescent="0.25">
      <c r="A107" s="282"/>
      <c r="B107" s="283">
        <v>0</v>
      </c>
      <c r="C107" s="248">
        <v>0</v>
      </c>
      <c r="D107" s="248">
        <f>B107-C107</f>
      </c>
      <c r="E107" s="249">
        <v>0</v>
      </c>
      <c r="F107" s="273"/>
      <c r="G107" s="251"/>
      <c r="H107" s="257"/>
      <c r="I107" s="257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</row>
    <row r="108" ht="36" customHeight="1" spans="1:26" x14ac:dyDescent="0.25">
      <c r="A108" s="282"/>
      <c r="B108" s="283">
        <v>0</v>
      </c>
      <c r="C108" s="248">
        <v>0</v>
      </c>
      <c r="D108" s="248">
        <f>B108-C108</f>
      </c>
      <c r="E108" s="249">
        <v>0</v>
      </c>
      <c r="F108" s="273"/>
      <c r="G108" s="251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</row>
    <row r="109" ht="36" customHeight="1" spans="1:26" x14ac:dyDescent="0.25">
      <c r="A109" s="282"/>
      <c r="B109" s="283">
        <v>0</v>
      </c>
      <c r="C109" s="248">
        <v>0</v>
      </c>
      <c r="D109" s="248">
        <f>B109-C109</f>
      </c>
      <c r="E109" s="249">
        <v>0</v>
      </c>
      <c r="F109" s="273"/>
      <c r="G109" s="251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</row>
    <row r="110" ht="36" customHeight="1" spans="1:26" x14ac:dyDescent="0.25">
      <c r="A110" s="282"/>
      <c r="B110" s="283">
        <v>0</v>
      </c>
      <c r="C110" s="248">
        <v>0</v>
      </c>
      <c r="D110" s="248">
        <f>B110-C110</f>
      </c>
      <c r="E110" s="249">
        <v>0</v>
      </c>
      <c r="F110" s="273"/>
      <c r="G110" s="251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</row>
    <row r="111" ht="36" customHeight="1" spans="1:26" x14ac:dyDescent="0.25">
      <c r="A111" s="282"/>
      <c r="B111" s="283">
        <v>0</v>
      </c>
      <c r="C111" s="248">
        <v>0</v>
      </c>
      <c r="D111" s="248">
        <f>B111-C111</f>
      </c>
      <c r="E111" s="249">
        <v>0</v>
      </c>
      <c r="F111" s="273"/>
      <c r="G111" s="251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</row>
    <row r="112" ht="36" customHeight="1" spans="1:26" x14ac:dyDescent="0.25">
      <c r="A112" s="282"/>
      <c r="B112" s="283">
        <v>0</v>
      </c>
      <c r="C112" s="248">
        <v>0</v>
      </c>
      <c r="D112" s="248">
        <f>B112-C112</f>
      </c>
      <c r="E112" s="249">
        <v>0</v>
      </c>
      <c r="F112" s="273"/>
      <c r="G112" s="251"/>
      <c r="H112" s="257"/>
      <c r="I112" s="257"/>
      <c r="J112" s="257"/>
      <c r="K112" s="257"/>
      <c r="L112" s="257"/>
      <c r="M112" s="257"/>
      <c r="N112" s="257"/>
      <c r="O112" s="257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</row>
    <row r="113" ht="36" customHeight="1" spans="1:26" x14ac:dyDescent="0.25">
      <c r="A113" s="282"/>
      <c r="B113" s="283">
        <v>0</v>
      </c>
      <c r="C113" s="248">
        <v>0</v>
      </c>
      <c r="D113" s="248">
        <f>B113-C113</f>
      </c>
      <c r="E113" s="249">
        <v>0</v>
      </c>
      <c r="F113" s="273"/>
      <c r="G113" s="251"/>
      <c r="H113" s="257"/>
      <c r="I113" s="257"/>
      <c r="J113" s="257"/>
      <c r="K113" s="257"/>
      <c r="L113" s="257"/>
      <c r="M113" s="257"/>
      <c r="N113" s="257"/>
      <c r="O113" s="257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</row>
    <row r="114" ht="36" customHeight="1" spans="1:26" x14ac:dyDescent="0.25">
      <c r="A114" s="282"/>
      <c r="B114" s="283">
        <v>0</v>
      </c>
      <c r="C114" s="248">
        <v>0</v>
      </c>
      <c r="D114" s="248">
        <f>B114-C114</f>
      </c>
      <c r="E114" s="249">
        <v>0</v>
      </c>
      <c r="F114" s="273"/>
      <c r="G114" s="251"/>
      <c r="H114" s="257"/>
      <c r="I114" s="257"/>
      <c r="J114" s="257"/>
      <c r="K114" s="257"/>
      <c r="L114" s="257"/>
      <c r="M114" s="257"/>
      <c r="N114" s="257"/>
      <c r="O114" s="257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</row>
    <row r="115" ht="36" customHeight="1" spans="1:26" x14ac:dyDescent="0.25">
      <c r="A115" s="282"/>
      <c r="B115" s="283">
        <v>0</v>
      </c>
      <c r="C115" s="248">
        <v>0</v>
      </c>
      <c r="D115" s="248">
        <f>B115-C115</f>
      </c>
      <c r="E115" s="249">
        <v>0</v>
      </c>
      <c r="F115" s="273"/>
      <c r="G115" s="251"/>
      <c r="H115" s="257"/>
      <c r="I115" s="257"/>
      <c r="J115" s="257"/>
      <c r="K115" s="257"/>
      <c r="L115" s="257"/>
      <c r="M115" s="257"/>
      <c r="N115" s="257"/>
      <c r="O115" s="257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</row>
    <row r="116" ht="36" customHeight="1" spans="1:26" x14ac:dyDescent="0.25">
      <c r="A116" s="282"/>
      <c r="B116" s="283">
        <v>0</v>
      </c>
      <c r="C116" s="248">
        <v>0</v>
      </c>
      <c r="D116" s="248">
        <f>B116-C116</f>
      </c>
      <c r="E116" s="249">
        <v>0</v>
      </c>
      <c r="F116" s="273"/>
      <c r="G116" s="251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</row>
    <row r="117" ht="36" customHeight="1" spans="1:26" x14ac:dyDescent="0.25">
      <c r="A117" s="282"/>
      <c r="B117" s="283">
        <v>0</v>
      </c>
      <c r="C117" s="248">
        <v>0</v>
      </c>
      <c r="D117" s="248">
        <f>B117-C117</f>
      </c>
      <c r="E117" s="249">
        <v>0</v>
      </c>
      <c r="F117" s="273"/>
      <c r="G117" s="251"/>
      <c r="H117" s="257"/>
      <c r="I117" s="257"/>
      <c r="J117" s="257"/>
      <c r="K117" s="257"/>
      <c r="L117" s="257"/>
      <c r="M117" s="257"/>
      <c r="N117" s="257"/>
      <c r="O117" s="257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</row>
    <row r="118" ht="36" customHeight="1" spans="1:26" x14ac:dyDescent="0.25">
      <c r="A118" s="282"/>
      <c r="B118" s="283">
        <v>0</v>
      </c>
      <c r="C118" s="248">
        <v>0</v>
      </c>
      <c r="D118" s="248">
        <f>B118-C118</f>
      </c>
      <c r="E118" s="249">
        <v>0</v>
      </c>
      <c r="F118" s="273"/>
      <c r="G118" s="251"/>
      <c r="H118" s="257"/>
      <c r="I118" s="257"/>
      <c r="J118" s="257"/>
      <c r="K118" s="257"/>
      <c r="L118" s="257"/>
      <c r="M118" s="257"/>
      <c r="N118" s="257"/>
      <c r="O118" s="257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</row>
    <row r="119" ht="36" customHeight="1" spans="1:26" x14ac:dyDescent="0.25">
      <c r="A119" s="282"/>
      <c r="B119" s="283">
        <v>0</v>
      </c>
      <c r="C119" s="248">
        <v>0</v>
      </c>
      <c r="D119" s="248">
        <f>B119-C119</f>
      </c>
      <c r="E119" s="249">
        <v>0</v>
      </c>
      <c r="F119" s="273"/>
      <c r="G119" s="251"/>
      <c r="H119" s="257"/>
      <c r="I119" s="257"/>
      <c r="J119" s="257"/>
      <c r="K119" s="257"/>
      <c r="L119" s="257"/>
      <c r="M119" s="257"/>
      <c r="N119" s="257"/>
      <c r="O119" s="257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</row>
    <row r="120" ht="14.25" customHeight="1" spans="1:26" x14ac:dyDescent="0.25">
      <c r="A120" s="284" t="s">
        <v>208</v>
      </c>
      <c r="B120" s="277">
        <f>SUM(B121:B160)</f>
      </c>
      <c r="C120" s="277">
        <f>SUM(C121:C160)</f>
      </c>
      <c r="D120" s="277">
        <f>B120-C120</f>
      </c>
      <c r="E120" s="278"/>
      <c r="F120" s="279"/>
      <c r="G120" s="280"/>
      <c r="H120" s="281"/>
      <c r="I120" s="281"/>
      <c r="J120" s="281"/>
      <c r="K120" s="281"/>
      <c r="L120" s="281"/>
      <c r="M120" s="281"/>
      <c r="N120" s="281"/>
      <c r="O120" s="281"/>
      <c r="P120" s="281"/>
      <c r="Q120" s="281"/>
      <c r="R120" s="281"/>
      <c r="S120" s="281"/>
      <c r="T120" s="281"/>
      <c r="U120" s="281"/>
      <c r="V120" s="281"/>
      <c r="W120" s="281"/>
      <c r="X120" s="281"/>
      <c r="Y120" s="281"/>
      <c r="Z120" s="281"/>
    </row>
    <row r="121" ht="31.5" customHeight="1" spans="1:26" x14ac:dyDescent="0.25">
      <c r="A121" s="285"/>
      <c r="B121" s="248">
        <v>0</v>
      </c>
      <c r="C121" s="248">
        <v>0</v>
      </c>
      <c r="D121" s="248">
        <f>B121-C121</f>
      </c>
      <c r="E121" s="249">
        <v>0</v>
      </c>
      <c r="F121" s="273"/>
      <c r="G121" s="251"/>
      <c r="H121" s="257"/>
      <c r="I121" s="257"/>
      <c r="J121" s="257"/>
      <c r="K121" s="257"/>
      <c r="L121" s="257"/>
      <c r="M121" s="257"/>
      <c r="N121" s="257"/>
      <c r="O121" s="257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</row>
    <row r="122" ht="22.5" customHeight="1" spans="1:26" x14ac:dyDescent="0.25">
      <c r="A122" s="285"/>
      <c r="B122" s="248">
        <v>0</v>
      </c>
      <c r="C122" s="248">
        <v>0</v>
      </c>
      <c r="D122" s="248">
        <f>B122-C122</f>
      </c>
      <c r="E122" s="249">
        <v>0</v>
      </c>
      <c r="F122" s="273"/>
      <c r="G122" s="251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</row>
    <row r="123" ht="22.5" customHeight="1" spans="1:26" x14ac:dyDescent="0.25">
      <c r="A123" s="285"/>
      <c r="B123" s="248">
        <v>0</v>
      </c>
      <c r="C123" s="248">
        <v>0</v>
      </c>
      <c r="D123" s="248">
        <f>B123-C123</f>
      </c>
      <c r="E123" s="249">
        <v>0</v>
      </c>
      <c r="F123" s="273"/>
      <c r="G123" s="251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</row>
    <row r="124" ht="22.5" customHeight="1" spans="1:26" x14ac:dyDescent="0.25">
      <c r="A124" s="285"/>
      <c r="B124" s="248">
        <v>0</v>
      </c>
      <c r="C124" s="248">
        <v>0</v>
      </c>
      <c r="D124" s="248">
        <f>B124-C124</f>
      </c>
      <c r="E124" s="249">
        <v>0</v>
      </c>
      <c r="F124" s="273"/>
      <c r="G124" s="251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</row>
    <row r="125" ht="22.5" customHeight="1" spans="1:26" x14ac:dyDescent="0.25">
      <c r="A125" s="285"/>
      <c r="B125" s="248">
        <v>0</v>
      </c>
      <c r="C125" s="248">
        <v>0</v>
      </c>
      <c r="D125" s="248">
        <f>B125-C125</f>
      </c>
      <c r="E125" s="249">
        <v>0</v>
      </c>
      <c r="F125" s="273"/>
      <c r="G125" s="251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</row>
    <row r="126" ht="22.5" customHeight="1" spans="1:26" x14ac:dyDescent="0.25">
      <c r="A126" s="285"/>
      <c r="B126" s="248">
        <v>0</v>
      </c>
      <c r="C126" s="248">
        <v>0</v>
      </c>
      <c r="D126" s="248">
        <f>B126-C126</f>
      </c>
      <c r="E126" s="249">
        <v>0</v>
      </c>
      <c r="F126" s="273"/>
      <c r="G126" s="251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</row>
    <row r="127" ht="22.5" customHeight="1" spans="1:26" x14ac:dyDescent="0.25">
      <c r="A127" s="285"/>
      <c r="B127" s="248">
        <v>0</v>
      </c>
      <c r="C127" s="248">
        <v>0</v>
      </c>
      <c r="D127" s="248">
        <f>B127-C127</f>
      </c>
      <c r="E127" s="249">
        <v>0</v>
      </c>
      <c r="F127" s="273"/>
      <c r="G127" s="251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</row>
    <row r="128" ht="22.5" customHeight="1" spans="1:26" x14ac:dyDescent="0.25">
      <c r="A128" s="285"/>
      <c r="B128" s="248">
        <v>0</v>
      </c>
      <c r="C128" s="248">
        <v>0</v>
      </c>
      <c r="D128" s="248">
        <f>B128-C128</f>
      </c>
      <c r="E128" s="249">
        <v>0</v>
      </c>
      <c r="F128" s="273"/>
      <c r="G128" s="251"/>
      <c r="H128" s="257"/>
      <c r="I128" s="257"/>
      <c r="J128" s="257"/>
      <c r="K128" s="257"/>
      <c r="L128" s="257"/>
      <c r="M128" s="257"/>
      <c r="N128" s="257"/>
      <c r="O128" s="257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</row>
    <row r="129" ht="22.5" customHeight="1" spans="1:26" x14ac:dyDescent="0.25">
      <c r="A129" s="285"/>
      <c r="B129" s="248">
        <v>0</v>
      </c>
      <c r="C129" s="248">
        <v>0</v>
      </c>
      <c r="D129" s="248">
        <f>B129-C129</f>
      </c>
      <c r="E129" s="249">
        <v>0</v>
      </c>
      <c r="F129" s="273"/>
      <c r="G129" s="251"/>
      <c r="H129" s="257"/>
      <c r="I129" s="257"/>
      <c r="J129" s="257"/>
      <c r="K129" s="257"/>
      <c r="L129" s="257"/>
      <c r="M129" s="257"/>
      <c r="N129" s="257"/>
      <c r="O129" s="257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</row>
    <row r="130" ht="22.5" customHeight="1" spans="1:26" x14ac:dyDescent="0.25">
      <c r="A130" s="285"/>
      <c r="B130" s="248">
        <v>0</v>
      </c>
      <c r="C130" s="248">
        <v>0</v>
      </c>
      <c r="D130" s="248">
        <f>B130-C130</f>
      </c>
      <c r="E130" s="249">
        <v>0</v>
      </c>
      <c r="F130" s="273"/>
      <c r="G130" s="251"/>
      <c r="H130" s="257"/>
      <c r="I130" s="257"/>
      <c r="J130" s="257"/>
      <c r="K130" s="257"/>
      <c r="L130" s="257"/>
      <c r="M130" s="257"/>
      <c r="N130" s="257"/>
      <c r="O130" s="257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</row>
    <row r="131" ht="22.5" customHeight="1" spans="1:26" x14ac:dyDescent="0.25">
      <c r="A131" s="285"/>
      <c r="B131" s="248">
        <v>0</v>
      </c>
      <c r="C131" s="248">
        <v>0</v>
      </c>
      <c r="D131" s="248">
        <f>B131-C131</f>
      </c>
      <c r="E131" s="249">
        <v>0</v>
      </c>
      <c r="F131" s="273"/>
      <c r="G131" s="251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</row>
    <row r="132" ht="22.5" customHeight="1" spans="1:26" x14ac:dyDescent="0.25">
      <c r="A132" s="285"/>
      <c r="B132" s="248">
        <v>0</v>
      </c>
      <c r="C132" s="248">
        <v>0</v>
      </c>
      <c r="D132" s="248">
        <f>B132-C132</f>
      </c>
      <c r="E132" s="249">
        <v>0</v>
      </c>
      <c r="F132" s="273"/>
      <c r="G132" s="251"/>
      <c r="H132" s="257"/>
      <c r="I132" s="257"/>
      <c r="J132" s="257"/>
      <c r="K132" s="257"/>
      <c r="L132" s="257"/>
      <c r="M132" s="257"/>
      <c r="N132" s="257"/>
      <c r="O132" s="257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</row>
    <row r="133" ht="22.5" customHeight="1" spans="1:26" x14ac:dyDescent="0.25">
      <c r="A133" s="285"/>
      <c r="B133" s="248">
        <v>0</v>
      </c>
      <c r="C133" s="248">
        <v>0</v>
      </c>
      <c r="D133" s="248">
        <f>B133-C133</f>
      </c>
      <c r="E133" s="249">
        <v>0</v>
      </c>
      <c r="F133" s="273"/>
      <c r="G133" s="251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</row>
    <row r="134" ht="22.5" customHeight="1" spans="1:26" x14ac:dyDescent="0.25">
      <c r="A134" s="285"/>
      <c r="B134" s="248">
        <v>0</v>
      </c>
      <c r="C134" s="248">
        <v>0</v>
      </c>
      <c r="D134" s="248">
        <f>B134-C134</f>
      </c>
      <c r="E134" s="249">
        <v>0</v>
      </c>
      <c r="F134" s="273"/>
      <c r="G134" s="251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</row>
    <row r="135" ht="22.5" customHeight="1" spans="1:26" x14ac:dyDescent="0.25">
      <c r="A135" s="285"/>
      <c r="B135" s="248">
        <v>0</v>
      </c>
      <c r="C135" s="248">
        <v>0</v>
      </c>
      <c r="D135" s="248">
        <f>B135-C135</f>
      </c>
      <c r="E135" s="249">
        <v>0</v>
      </c>
      <c r="F135" s="273"/>
      <c r="G135" s="251"/>
      <c r="H135" s="257"/>
      <c r="I135" s="257"/>
      <c r="J135" s="257"/>
      <c r="K135" s="257"/>
      <c r="L135" s="257"/>
      <c r="M135" s="257"/>
      <c r="N135" s="257"/>
      <c r="O135" s="257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</row>
    <row r="136" ht="22.5" customHeight="1" spans="1:26" x14ac:dyDescent="0.25">
      <c r="A136" s="285"/>
      <c r="B136" s="248">
        <v>0</v>
      </c>
      <c r="C136" s="248">
        <v>0</v>
      </c>
      <c r="D136" s="248">
        <f>B136-C136</f>
      </c>
      <c r="E136" s="249">
        <v>0</v>
      </c>
      <c r="F136" s="273"/>
      <c r="G136" s="251"/>
      <c r="H136" s="257"/>
      <c r="I136" s="257"/>
      <c r="J136" s="257"/>
      <c r="K136" s="257"/>
      <c r="L136" s="257"/>
      <c r="M136" s="257"/>
      <c r="N136" s="257"/>
      <c r="O136" s="257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</row>
    <row r="137" ht="22.5" customHeight="1" spans="1:26" x14ac:dyDescent="0.25">
      <c r="A137" s="285"/>
      <c r="B137" s="248">
        <v>0</v>
      </c>
      <c r="C137" s="248">
        <v>0</v>
      </c>
      <c r="D137" s="248">
        <f>B137-C137</f>
      </c>
      <c r="E137" s="249">
        <v>0</v>
      </c>
      <c r="F137" s="273"/>
      <c r="G137" s="251"/>
      <c r="H137" s="257"/>
      <c r="I137" s="257"/>
      <c r="J137" s="257"/>
      <c r="K137" s="257"/>
      <c r="L137" s="257"/>
      <c r="M137" s="257"/>
      <c r="N137" s="257"/>
      <c r="O137" s="257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</row>
    <row r="138" ht="22.5" customHeight="1" spans="1:26" x14ac:dyDescent="0.25">
      <c r="A138" s="285"/>
      <c r="B138" s="248">
        <v>0</v>
      </c>
      <c r="C138" s="248">
        <v>0</v>
      </c>
      <c r="D138" s="248">
        <f>B138-C138</f>
      </c>
      <c r="E138" s="249">
        <v>0</v>
      </c>
      <c r="F138" s="273"/>
      <c r="G138" s="251"/>
      <c r="H138" s="257"/>
      <c r="I138" s="257"/>
      <c r="J138" s="257"/>
      <c r="K138" s="257"/>
      <c r="L138" s="257"/>
      <c r="M138" s="257"/>
      <c r="N138" s="257"/>
      <c r="O138" s="257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</row>
    <row r="139" ht="22.5" customHeight="1" spans="1:26" x14ac:dyDescent="0.25">
      <c r="A139" s="285"/>
      <c r="B139" s="248">
        <v>0</v>
      </c>
      <c r="C139" s="248">
        <v>0</v>
      </c>
      <c r="D139" s="248">
        <f>B139-C139</f>
      </c>
      <c r="E139" s="249">
        <v>0</v>
      </c>
      <c r="F139" s="273"/>
      <c r="G139" s="251"/>
      <c r="H139" s="257"/>
      <c r="I139" s="257"/>
      <c r="J139" s="257"/>
      <c r="K139" s="257"/>
      <c r="L139" s="257"/>
      <c r="M139" s="257"/>
      <c r="N139" s="257"/>
      <c r="O139" s="257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</row>
    <row r="140" ht="22.5" customHeight="1" spans="1:26" x14ac:dyDescent="0.25">
      <c r="A140" s="285"/>
      <c r="B140" s="248">
        <v>0</v>
      </c>
      <c r="C140" s="248">
        <v>0</v>
      </c>
      <c r="D140" s="248">
        <f>B140-C140</f>
      </c>
      <c r="E140" s="249">
        <v>0</v>
      </c>
      <c r="F140" s="273"/>
      <c r="G140" s="251"/>
      <c r="H140" s="257"/>
      <c r="I140" s="257"/>
      <c r="J140" s="257"/>
      <c r="K140" s="257"/>
      <c r="L140" s="257"/>
      <c r="M140" s="257"/>
      <c r="N140" s="257"/>
      <c r="O140" s="257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</row>
    <row r="141" ht="22.5" customHeight="1" spans="1:26" x14ac:dyDescent="0.25">
      <c r="A141" s="285"/>
      <c r="B141" s="248">
        <v>0</v>
      </c>
      <c r="C141" s="248">
        <v>0</v>
      </c>
      <c r="D141" s="248">
        <f>B141-C141</f>
      </c>
      <c r="E141" s="249">
        <v>0</v>
      </c>
      <c r="F141" s="273"/>
      <c r="G141" s="251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</row>
    <row r="142" ht="22.5" customHeight="1" spans="1:26" x14ac:dyDescent="0.25">
      <c r="A142" s="285"/>
      <c r="B142" s="248">
        <v>0</v>
      </c>
      <c r="C142" s="248">
        <v>0</v>
      </c>
      <c r="D142" s="248">
        <f>B142-C142</f>
      </c>
      <c r="E142" s="249">
        <v>0</v>
      </c>
      <c r="F142" s="273"/>
      <c r="G142" s="251"/>
      <c r="H142" s="257"/>
      <c r="I142" s="257"/>
      <c r="J142" s="257"/>
      <c r="K142" s="257"/>
      <c r="L142" s="257"/>
      <c r="M142" s="257"/>
      <c r="N142" s="257"/>
      <c r="O142" s="257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</row>
    <row r="143" ht="22.5" customHeight="1" spans="1:26" x14ac:dyDescent="0.25">
      <c r="A143" s="285"/>
      <c r="B143" s="248">
        <v>0</v>
      </c>
      <c r="C143" s="248">
        <v>0</v>
      </c>
      <c r="D143" s="248">
        <f>B143-C143</f>
      </c>
      <c r="E143" s="249">
        <v>0</v>
      </c>
      <c r="F143" s="273"/>
      <c r="G143" s="251"/>
      <c r="H143" s="257"/>
      <c r="I143" s="257"/>
      <c r="J143" s="257"/>
      <c r="K143" s="257"/>
      <c r="L143" s="257"/>
      <c r="M143" s="257"/>
      <c r="N143" s="257"/>
      <c r="O143" s="257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</row>
    <row r="144" ht="22.5" customHeight="1" spans="1:26" x14ac:dyDescent="0.25">
      <c r="A144" s="285"/>
      <c r="B144" s="248">
        <v>0</v>
      </c>
      <c r="C144" s="248">
        <v>0</v>
      </c>
      <c r="D144" s="248">
        <f>B144-C144</f>
      </c>
      <c r="E144" s="249">
        <v>0</v>
      </c>
      <c r="F144" s="273"/>
      <c r="G144" s="251"/>
      <c r="H144" s="257"/>
      <c r="I144" s="257"/>
      <c r="J144" s="257"/>
      <c r="K144" s="257"/>
      <c r="L144" s="257"/>
      <c r="M144" s="257"/>
      <c r="N144" s="257"/>
      <c r="O144" s="257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</row>
    <row r="145" ht="22.5" customHeight="1" spans="1:26" x14ac:dyDescent="0.25">
      <c r="A145" s="285"/>
      <c r="B145" s="248">
        <v>0</v>
      </c>
      <c r="C145" s="248">
        <v>0</v>
      </c>
      <c r="D145" s="248">
        <f>B145-C145</f>
      </c>
      <c r="E145" s="249">
        <v>0</v>
      </c>
      <c r="F145" s="273"/>
      <c r="G145" s="251"/>
      <c r="H145" s="257"/>
      <c r="I145" s="257"/>
      <c r="J145" s="257"/>
      <c r="K145" s="257"/>
      <c r="L145" s="257"/>
      <c r="M145" s="257"/>
      <c r="N145" s="257"/>
      <c r="O145" s="257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</row>
    <row r="146" ht="22.5" customHeight="1" spans="1:26" x14ac:dyDescent="0.25">
      <c r="A146" s="285"/>
      <c r="B146" s="248">
        <v>0</v>
      </c>
      <c r="C146" s="248">
        <v>0</v>
      </c>
      <c r="D146" s="248">
        <f>B146-C146</f>
      </c>
      <c r="E146" s="249">
        <v>0</v>
      </c>
      <c r="F146" s="273"/>
      <c r="G146" s="251"/>
      <c r="H146" s="257"/>
      <c r="I146" s="257"/>
      <c r="J146" s="257"/>
      <c r="K146" s="257"/>
      <c r="L146" s="257"/>
      <c r="M146" s="257"/>
      <c r="N146" s="257"/>
      <c r="O146" s="257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</row>
    <row r="147" ht="22.5" customHeight="1" spans="1:26" x14ac:dyDescent="0.25">
      <c r="A147" s="285"/>
      <c r="B147" s="248">
        <v>0</v>
      </c>
      <c r="C147" s="248">
        <v>0</v>
      </c>
      <c r="D147" s="248">
        <f>B147-C147</f>
      </c>
      <c r="E147" s="249">
        <v>0</v>
      </c>
      <c r="F147" s="273"/>
      <c r="G147" s="251"/>
      <c r="H147" s="257"/>
      <c r="I147" s="257"/>
      <c r="J147" s="257"/>
      <c r="K147" s="257"/>
      <c r="L147" s="257"/>
      <c r="M147" s="257"/>
      <c r="N147" s="257"/>
      <c r="O147" s="257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</row>
    <row r="148" ht="22.5" customHeight="1" spans="1:26" x14ac:dyDescent="0.25">
      <c r="A148" s="285"/>
      <c r="B148" s="248">
        <v>0</v>
      </c>
      <c r="C148" s="248">
        <v>0</v>
      </c>
      <c r="D148" s="248">
        <f>B148-C148</f>
      </c>
      <c r="E148" s="249">
        <v>0</v>
      </c>
      <c r="F148" s="273"/>
      <c r="G148" s="251"/>
      <c r="H148" s="257"/>
      <c r="I148" s="257"/>
      <c r="J148" s="257"/>
      <c r="K148" s="257"/>
      <c r="L148" s="257"/>
      <c r="M148" s="257"/>
      <c r="N148" s="257"/>
      <c r="O148" s="257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</row>
    <row r="149" ht="22.5" customHeight="1" spans="1:26" x14ac:dyDescent="0.25">
      <c r="A149" s="285"/>
      <c r="B149" s="248">
        <v>0</v>
      </c>
      <c r="C149" s="248">
        <v>0</v>
      </c>
      <c r="D149" s="248">
        <f>B149-C149</f>
      </c>
      <c r="E149" s="249">
        <v>0</v>
      </c>
      <c r="F149" s="273"/>
      <c r="G149" s="251"/>
      <c r="H149" s="257"/>
      <c r="I149" s="257"/>
      <c r="J149" s="257"/>
      <c r="K149" s="257"/>
      <c r="L149" s="257"/>
      <c r="M149" s="257"/>
      <c r="N149" s="257"/>
      <c r="O149" s="257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</row>
    <row r="150" ht="22.5" customHeight="1" spans="1:26" x14ac:dyDescent="0.25">
      <c r="A150" s="285"/>
      <c r="B150" s="248">
        <v>0</v>
      </c>
      <c r="C150" s="248">
        <v>0</v>
      </c>
      <c r="D150" s="248">
        <f>B150-C150</f>
      </c>
      <c r="E150" s="249">
        <v>0</v>
      </c>
      <c r="F150" s="273"/>
      <c r="G150" s="251"/>
      <c r="H150" s="257"/>
      <c r="I150" s="257"/>
      <c r="J150" s="257"/>
      <c r="K150" s="257"/>
      <c r="L150" s="257"/>
      <c r="M150" s="257"/>
      <c r="N150" s="257"/>
      <c r="O150" s="257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</row>
    <row r="151" ht="22.5" customHeight="1" spans="1:26" x14ac:dyDescent="0.25">
      <c r="A151" s="285"/>
      <c r="B151" s="248">
        <v>0</v>
      </c>
      <c r="C151" s="248">
        <v>0</v>
      </c>
      <c r="D151" s="248">
        <f>B151-C151</f>
      </c>
      <c r="E151" s="249">
        <v>0</v>
      </c>
      <c r="F151" s="273"/>
      <c r="G151" s="251"/>
      <c r="H151" s="257"/>
      <c r="I151" s="257"/>
      <c r="J151" s="257"/>
      <c r="K151" s="257"/>
      <c r="L151" s="257"/>
      <c r="M151" s="257"/>
      <c r="N151" s="257"/>
      <c r="O151" s="257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</row>
    <row r="152" ht="22.5" customHeight="1" spans="1:26" x14ac:dyDescent="0.25">
      <c r="A152" s="285"/>
      <c r="B152" s="248">
        <v>0</v>
      </c>
      <c r="C152" s="248">
        <v>0</v>
      </c>
      <c r="D152" s="248">
        <f>B152-C152</f>
      </c>
      <c r="E152" s="249">
        <v>0</v>
      </c>
      <c r="F152" s="273"/>
      <c r="G152" s="251"/>
      <c r="H152" s="257"/>
      <c r="I152" s="257"/>
      <c r="J152" s="257"/>
      <c r="K152" s="257"/>
      <c r="L152" s="257"/>
      <c r="M152" s="257"/>
      <c r="N152" s="257"/>
      <c r="O152" s="257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</row>
    <row r="153" ht="22.5" customHeight="1" spans="1:26" x14ac:dyDescent="0.25">
      <c r="A153" s="285"/>
      <c r="B153" s="248">
        <v>0</v>
      </c>
      <c r="C153" s="248">
        <v>0</v>
      </c>
      <c r="D153" s="248">
        <f>B153-C153</f>
      </c>
      <c r="E153" s="249">
        <v>0</v>
      </c>
      <c r="F153" s="273"/>
      <c r="G153" s="251"/>
      <c r="H153" s="257"/>
      <c r="I153" s="257"/>
      <c r="J153" s="257"/>
      <c r="K153" s="257"/>
      <c r="L153" s="257"/>
      <c r="M153" s="257"/>
      <c r="N153" s="257"/>
      <c r="O153" s="257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</row>
    <row r="154" ht="22.5" customHeight="1" spans="1:26" x14ac:dyDescent="0.25">
      <c r="A154" s="285"/>
      <c r="B154" s="248">
        <v>0</v>
      </c>
      <c r="C154" s="248">
        <v>0</v>
      </c>
      <c r="D154" s="248">
        <f>B154-C154</f>
      </c>
      <c r="E154" s="249">
        <v>0</v>
      </c>
      <c r="F154" s="273"/>
      <c r="G154" s="251"/>
      <c r="H154" s="257"/>
      <c r="I154" s="257"/>
      <c r="J154" s="257"/>
      <c r="K154" s="257"/>
      <c r="L154" s="257"/>
      <c r="M154" s="257"/>
      <c r="N154" s="257"/>
      <c r="O154" s="257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</row>
    <row r="155" ht="22.5" customHeight="1" spans="1:26" x14ac:dyDescent="0.25">
      <c r="A155" s="285"/>
      <c r="B155" s="248">
        <v>0</v>
      </c>
      <c r="C155" s="248">
        <v>0</v>
      </c>
      <c r="D155" s="248">
        <f>B155-C155</f>
      </c>
      <c r="E155" s="249">
        <v>0</v>
      </c>
      <c r="F155" s="273"/>
      <c r="G155" s="251"/>
      <c r="H155" s="257"/>
      <c r="I155" s="257"/>
      <c r="J155" s="257"/>
      <c r="K155" s="257"/>
      <c r="L155" s="257"/>
      <c r="M155" s="257"/>
      <c r="N155" s="257"/>
      <c r="O155" s="257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</row>
    <row r="156" ht="22.5" customHeight="1" spans="1:26" x14ac:dyDescent="0.25">
      <c r="A156" s="285"/>
      <c r="B156" s="248">
        <v>0</v>
      </c>
      <c r="C156" s="248">
        <v>0</v>
      </c>
      <c r="D156" s="248">
        <f>B156-C156</f>
      </c>
      <c r="E156" s="249">
        <v>0</v>
      </c>
      <c r="F156" s="273"/>
      <c r="G156" s="251"/>
      <c r="H156" s="257"/>
      <c r="I156" s="257"/>
      <c r="J156" s="257"/>
      <c r="K156" s="257"/>
      <c r="L156" s="257"/>
      <c r="M156" s="257"/>
      <c r="N156" s="257"/>
      <c r="O156" s="257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</row>
    <row r="157" ht="22.5" customHeight="1" spans="1:26" x14ac:dyDescent="0.25">
      <c r="A157" s="285"/>
      <c r="B157" s="248">
        <v>0</v>
      </c>
      <c r="C157" s="248">
        <v>0</v>
      </c>
      <c r="D157" s="248">
        <f>B157-C157</f>
      </c>
      <c r="E157" s="249">
        <v>0</v>
      </c>
      <c r="F157" s="273"/>
      <c r="G157" s="251"/>
      <c r="H157" s="257"/>
      <c r="I157" s="257"/>
      <c r="J157" s="257"/>
      <c r="K157" s="257"/>
      <c r="L157" s="257"/>
      <c r="M157" s="257"/>
      <c r="N157" s="257"/>
      <c r="O157" s="257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</row>
    <row r="158" ht="22.5" customHeight="1" spans="1:26" x14ac:dyDescent="0.25">
      <c r="A158" s="285"/>
      <c r="B158" s="248">
        <v>0</v>
      </c>
      <c r="C158" s="248">
        <v>0</v>
      </c>
      <c r="D158" s="248">
        <f>B158-C158</f>
      </c>
      <c r="E158" s="249">
        <v>0</v>
      </c>
      <c r="F158" s="273"/>
      <c r="G158" s="251"/>
      <c r="H158" s="257"/>
      <c r="I158" s="257"/>
      <c r="J158" s="257"/>
      <c r="K158" s="257"/>
      <c r="L158" s="257"/>
      <c r="M158" s="257"/>
      <c r="N158" s="257"/>
      <c r="O158" s="257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</row>
    <row r="159" ht="22.5" customHeight="1" spans="1:26" x14ac:dyDescent="0.25">
      <c r="A159" s="285"/>
      <c r="B159" s="248">
        <v>0</v>
      </c>
      <c r="C159" s="248">
        <v>0</v>
      </c>
      <c r="D159" s="248">
        <f>B159-C159</f>
      </c>
      <c r="E159" s="249">
        <v>0</v>
      </c>
      <c r="F159" s="273"/>
      <c r="G159" s="251"/>
      <c r="H159" s="257"/>
      <c r="I159" s="257"/>
      <c r="J159" s="257"/>
      <c r="K159" s="257"/>
      <c r="L159" s="257"/>
      <c r="M159" s="257"/>
      <c r="N159" s="257"/>
      <c r="O159" s="257"/>
      <c r="P159" s="257"/>
      <c r="Q159" s="257"/>
      <c r="R159" s="257"/>
      <c r="S159" s="257"/>
      <c r="T159" s="257"/>
      <c r="U159" s="257"/>
      <c r="V159" s="257"/>
      <c r="W159" s="257"/>
      <c r="X159" s="257"/>
      <c r="Y159" s="257"/>
      <c r="Z159" s="257"/>
    </row>
    <row r="160" ht="22.5" customHeight="1" spans="1:26" x14ac:dyDescent="0.25">
      <c r="A160" s="285"/>
      <c r="B160" s="248">
        <v>0</v>
      </c>
      <c r="C160" s="248">
        <v>0</v>
      </c>
      <c r="D160" s="248">
        <f>B160-C160</f>
      </c>
      <c r="E160" s="249">
        <v>0</v>
      </c>
      <c r="F160" s="273"/>
      <c r="G160" s="251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</row>
    <row r="161" ht="14.25" customHeight="1" spans="1:26" x14ac:dyDescent="0.25">
      <c r="A161" s="286"/>
      <c r="B161" s="287"/>
      <c r="C161" s="287"/>
      <c r="D161" s="287"/>
      <c r="E161" s="288"/>
      <c r="F161" s="289"/>
      <c r="G161" s="290"/>
      <c r="H161" s="257"/>
      <c r="I161" s="257"/>
      <c r="J161" s="257"/>
      <c r="K161" s="257"/>
      <c r="L161" s="257"/>
      <c r="M161" s="257"/>
      <c r="N161" s="257"/>
      <c r="O161" s="257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</row>
    <row r="162" ht="14.25" customHeight="1" spans="1:26" x14ac:dyDescent="0.25">
      <c r="A162" s="291" t="s">
        <v>209</v>
      </c>
      <c r="B162" s="292">
        <f>SUM(B163:B202)</f>
      </c>
      <c r="C162" s="292">
        <f>SUM(C163:C202)</f>
      </c>
      <c r="D162" s="292">
        <f>B162-C162</f>
      </c>
      <c r="E162" s="293">
        <v>0</v>
      </c>
      <c r="F162" s="294"/>
      <c r="G162" s="295"/>
      <c r="H162" s="257"/>
      <c r="I162" s="257"/>
      <c r="J162" s="257"/>
      <c r="K162" s="257"/>
      <c r="L162" s="257"/>
      <c r="M162" s="257"/>
      <c r="N162" s="257"/>
      <c r="O162" s="257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</row>
    <row r="163" ht="14.25" customHeight="1" spans="1:26" x14ac:dyDescent="0.25">
      <c r="A163" s="286"/>
      <c r="B163" s="287">
        <v>0</v>
      </c>
      <c r="C163" s="287">
        <v>0</v>
      </c>
      <c r="D163" s="287">
        <f>B163-C163</f>
      </c>
      <c r="E163" s="288">
        <v>0</v>
      </c>
      <c r="F163" s="289"/>
      <c r="G163" s="290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7"/>
      <c r="S163" s="257"/>
      <c r="T163" s="257"/>
      <c r="U163" s="257"/>
      <c r="V163" s="257"/>
      <c r="W163" s="257"/>
      <c r="X163" s="257"/>
      <c r="Y163" s="257"/>
      <c r="Z163" s="257"/>
    </row>
    <row r="164" ht="14.25" customHeight="1" spans="1:26" x14ac:dyDescent="0.25">
      <c r="A164" s="286"/>
      <c r="B164" s="287">
        <v>0</v>
      </c>
      <c r="C164" s="287">
        <v>0</v>
      </c>
      <c r="D164" s="287">
        <f>B164-C164</f>
      </c>
      <c r="E164" s="288">
        <v>0</v>
      </c>
      <c r="F164" s="289"/>
      <c r="G164" s="290"/>
      <c r="H164" s="257"/>
      <c r="I164" s="257"/>
      <c r="J164" s="257"/>
      <c r="K164" s="257"/>
      <c r="L164" s="257"/>
      <c r="M164" s="257"/>
      <c r="N164" s="257"/>
      <c r="O164" s="257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</row>
    <row r="165" ht="14.25" customHeight="1" spans="1:26" x14ac:dyDescent="0.25">
      <c r="A165" s="286"/>
      <c r="B165" s="287">
        <v>0</v>
      </c>
      <c r="C165" s="287">
        <v>0</v>
      </c>
      <c r="D165" s="287">
        <f>B165-C165</f>
      </c>
      <c r="E165" s="288">
        <v>0</v>
      </c>
      <c r="F165" s="289"/>
      <c r="G165" s="290"/>
      <c r="H165" s="257"/>
      <c r="I165" s="257"/>
      <c r="J165" s="257"/>
      <c r="K165" s="257"/>
      <c r="L165" s="257"/>
      <c r="M165" s="257"/>
      <c r="N165" s="257"/>
      <c r="O165" s="257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</row>
    <row r="166" ht="14.25" customHeight="1" spans="1:26" x14ac:dyDescent="0.25">
      <c r="A166" s="286"/>
      <c r="B166" s="287">
        <v>0</v>
      </c>
      <c r="C166" s="287">
        <v>0</v>
      </c>
      <c r="D166" s="287">
        <f>B166-C166</f>
      </c>
      <c r="E166" s="288">
        <v>0</v>
      </c>
      <c r="F166" s="289"/>
      <c r="G166" s="290"/>
      <c r="H166" s="257"/>
      <c r="I166" s="257"/>
      <c r="J166" s="257"/>
      <c r="K166" s="257"/>
      <c r="L166" s="257"/>
      <c r="M166" s="257"/>
      <c r="N166" s="257"/>
      <c r="O166" s="257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</row>
    <row r="167" ht="14.25" customHeight="1" spans="1:26" x14ac:dyDescent="0.25">
      <c r="A167" s="286"/>
      <c r="B167" s="287">
        <v>0</v>
      </c>
      <c r="C167" s="287">
        <v>0</v>
      </c>
      <c r="D167" s="287">
        <f>B167-C167</f>
      </c>
      <c r="E167" s="288">
        <v>0</v>
      </c>
      <c r="F167" s="289"/>
      <c r="G167" s="290"/>
      <c r="H167" s="257"/>
      <c r="I167" s="257"/>
      <c r="J167" s="257"/>
      <c r="K167" s="257"/>
      <c r="L167" s="257"/>
      <c r="M167" s="257"/>
      <c r="N167" s="257"/>
      <c r="O167" s="257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</row>
    <row r="168" ht="14.25" customHeight="1" spans="1:26" x14ac:dyDescent="0.25">
      <c r="A168" s="286"/>
      <c r="B168" s="287">
        <v>0</v>
      </c>
      <c r="C168" s="287">
        <v>0</v>
      </c>
      <c r="D168" s="287">
        <f>B168-C168</f>
      </c>
      <c r="E168" s="288">
        <v>0</v>
      </c>
      <c r="F168" s="289"/>
      <c r="G168" s="290"/>
      <c r="H168" s="257"/>
      <c r="I168" s="257"/>
      <c r="J168" s="257"/>
      <c r="K168" s="257"/>
      <c r="L168" s="257"/>
      <c r="M168" s="257"/>
      <c r="N168" s="257"/>
      <c r="O168" s="257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</row>
    <row r="169" ht="14.25" customHeight="1" spans="1:26" x14ac:dyDescent="0.25">
      <c r="A169" s="286"/>
      <c r="B169" s="287">
        <v>0</v>
      </c>
      <c r="C169" s="287">
        <v>0</v>
      </c>
      <c r="D169" s="287">
        <f>B169-C169</f>
      </c>
      <c r="E169" s="288">
        <v>0</v>
      </c>
      <c r="F169" s="289"/>
      <c r="G169" s="290"/>
      <c r="H169" s="257"/>
      <c r="I169" s="257"/>
      <c r="J169" s="257"/>
      <c r="K169" s="257"/>
      <c r="L169" s="257"/>
      <c r="M169" s="257"/>
      <c r="N169" s="257"/>
      <c r="O169" s="257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</row>
    <row r="170" ht="14.25" customHeight="1" spans="1:26" x14ac:dyDescent="0.25">
      <c r="A170" s="286"/>
      <c r="B170" s="287">
        <v>0</v>
      </c>
      <c r="C170" s="287">
        <v>0</v>
      </c>
      <c r="D170" s="287">
        <f>B170-C170</f>
      </c>
      <c r="E170" s="288">
        <v>0</v>
      </c>
      <c r="F170" s="289"/>
      <c r="G170" s="290"/>
      <c r="H170" s="257"/>
      <c r="I170" s="257"/>
      <c r="J170" s="257"/>
      <c r="K170" s="257"/>
      <c r="L170" s="257"/>
      <c r="M170" s="257"/>
      <c r="N170" s="257"/>
      <c r="O170" s="257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</row>
    <row r="171" ht="14.25" customHeight="1" spans="1:26" x14ac:dyDescent="0.25">
      <c r="A171" s="286"/>
      <c r="B171" s="287">
        <v>0</v>
      </c>
      <c r="C171" s="287">
        <v>0</v>
      </c>
      <c r="D171" s="287">
        <f>B171-C171</f>
      </c>
      <c r="E171" s="288">
        <v>0</v>
      </c>
      <c r="F171" s="289"/>
      <c r="G171" s="290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</row>
    <row r="172" ht="14.25" customHeight="1" spans="1:26" x14ac:dyDescent="0.25">
      <c r="A172" s="286"/>
      <c r="B172" s="287">
        <v>0</v>
      </c>
      <c r="C172" s="287">
        <v>0</v>
      </c>
      <c r="D172" s="287">
        <f>B172-C172</f>
      </c>
      <c r="E172" s="288">
        <v>0</v>
      </c>
      <c r="F172" s="289"/>
      <c r="G172" s="290"/>
      <c r="H172" s="257"/>
      <c r="I172" s="257"/>
      <c r="J172" s="257"/>
      <c r="K172" s="257"/>
      <c r="L172" s="257"/>
      <c r="M172" s="257"/>
      <c r="N172" s="257"/>
      <c r="O172" s="257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</row>
    <row r="173" ht="14.25" customHeight="1" spans="1:26" x14ac:dyDescent="0.25">
      <c r="A173" s="286"/>
      <c r="B173" s="287">
        <v>0</v>
      </c>
      <c r="C173" s="287">
        <v>0</v>
      </c>
      <c r="D173" s="287">
        <f>B173-C173</f>
      </c>
      <c r="E173" s="288">
        <v>0</v>
      </c>
      <c r="F173" s="289"/>
      <c r="G173" s="290"/>
      <c r="H173" s="257"/>
      <c r="I173" s="257"/>
      <c r="J173" s="257"/>
      <c r="K173" s="257"/>
      <c r="L173" s="257"/>
      <c r="M173" s="257"/>
      <c r="N173" s="257"/>
      <c r="O173" s="257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</row>
    <row r="174" ht="14.25" customHeight="1" spans="1:26" x14ac:dyDescent="0.25">
      <c r="A174" s="286"/>
      <c r="B174" s="287">
        <v>0</v>
      </c>
      <c r="C174" s="287">
        <v>0</v>
      </c>
      <c r="D174" s="287">
        <f>B174-C174</f>
      </c>
      <c r="E174" s="288">
        <v>0</v>
      </c>
      <c r="F174" s="289"/>
      <c r="G174" s="290"/>
      <c r="H174" s="257"/>
      <c r="I174" s="257"/>
      <c r="J174" s="257"/>
      <c r="K174" s="257"/>
      <c r="L174" s="257"/>
      <c r="M174" s="257"/>
      <c r="N174" s="257"/>
      <c r="O174" s="257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</row>
    <row r="175" ht="14.25" customHeight="1" spans="1:26" x14ac:dyDescent="0.25">
      <c r="A175" s="286"/>
      <c r="B175" s="287">
        <v>0</v>
      </c>
      <c r="C175" s="287">
        <v>0</v>
      </c>
      <c r="D175" s="287">
        <f>B175-C175</f>
      </c>
      <c r="E175" s="288">
        <v>0</v>
      </c>
      <c r="F175" s="289"/>
      <c r="G175" s="290"/>
      <c r="H175" s="257"/>
      <c r="I175" s="257"/>
      <c r="J175" s="257"/>
      <c r="K175" s="257"/>
      <c r="L175" s="257"/>
      <c r="M175" s="257"/>
      <c r="N175" s="257"/>
      <c r="O175" s="257"/>
      <c r="P175" s="257"/>
      <c r="Q175" s="257"/>
      <c r="R175" s="257"/>
      <c r="S175" s="257"/>
      <c r="T175" s="257"/>
      <c r="U175" s="257"/>
      <c r="V175" s="257"/>
      <c r="W175" s="257"/>
      <c r="X175" s="257"/>
      <c r="Y175" s="257"/>
      <c r="Z175" s="257"/>
    </row>
    <row r="176" ht="14.25" customHeight="1" spans="1:26" x14ac:dyDescent="0.25">
      <c r="A176" s="286"/>
      <c r="B176" s="287">
        <v>0</v>
      </c>
      <c r="C176" s="287">
        <v>0</v>
      </c>
      <c r="D176" s="287">
        <f>B176-C176</f>
      </c>
      <c r="E176" s="288">
        <v>0</v>
      </c>
      <c r="F176" s="289"/>
      <c r="G176" s="290"/>
      <c r="H176" s="257"/>
      <c r="I176" s="257"/>
      <c r="J176" s="257"/>
      <c r="K176" s="257"/>
      <c r="L176" s="257"/>
      <c r="M176" s="257"/>
      <c r="N176" s="257"/>
      <c r="O176" s="257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</row>
    <row r="177" ht="14.25" customHeight="1" spans="1:26" x14ac:dyDescent="0.25">
      <c r="A177" s="286"/>
      <c r="B177" s="287">
        <v>0</v>
      </c>
      <c r="C177" s="287">
        <v>0</v>
      </c>
      <c r="D177" s="287">
        <f>B177-C177</f>
      </c>
      <c r="E177" s="288">
        <v>0</v>
      </c>
      <c r="F177" s="289"/>
      <c r="G177" s="290"/>
      <c r="H177" s="257"/>
      <c r="I177" s="257"/>
      <c r="J177" s="257"/>
      <c r="K177" s="257"/>
      <c r="L177" s="257"/>
      <c r="M177" s="257"/>
      <c r="N177" s="257"/>
      <c r="O177" s="257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</row>
    <row r="178" ht="14.25" customHeight="1" spans="1:26" x14ac:dyDescent="0.25">
      <c r="A178" s="286"/>
      <c r="B178" s="287">
        <v>0</v>
      </c>
      <c r="C178" s="287">
        <v>0</v>
      </c>
      <c r="D178" s="287">
        <f>B178-C178</f>
      </c>
      <c r="E178" s="288">
        <v>0</v>
      </c>
      <c r="F178" s="289"/>
      <c r="G178" s="290"/>
      <c r="H178" s="257"/>
      <c r="I178" s="257"/>
      <c r="J178" s="257"/>
      <c r="K178" s="257"/>
      <c r="L178" s="257"/>
      <c r="M178" s="257"/>
      <c r="N178" s="257"/>
      <c r="O178" s="257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</row>
    <row r="179" ht="14.25" customHeight="1" spans="1:26" x14ac:dyDescent="0.25">
      <c r="A179" s="286"/>
      <c r="B179" s="287">
        <v>0</v>
      </c>
      <c r="C179" s="287">
        <v>0</v>
      </c>
      <c r="D179" s="287">
        <f>B179-C179</f>
      </c>
      <c r="E179" s="288">
        <v>0</v>
      </c>
      <c r="F179" s="289"/>
      <c r="G179" s="290"/>
      <c r="H179" s="257"/>
      <c r="I179" s="257"/>
      <c r="J179" s="257"/>
      <c r="K179" s="257"/>
      <c r="L179" s="257"/>
      <c r="M179" s="257"/>
      <c r="N179" s="257"/>
      <c r="O179" s="257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</row>
    <row r="180" ht="14.25" customHeight="1" spans="1:26" x14ac:dyDescent="0.25">
      <c r="A180" s="286"/>
      <c r="B180" s="287">
        <v>0</v>
      </c>
      <c r="C180" s="287">
        <v>0</v>
      </c>
      <c r="D180" s="287">
        <f>B180-C180</f>
      </c>
      <c r="E180" s="288">
        <v>0</v>
      </c>
      <c r="F180" s="289"/>
      <c r="G180" s="290"/>
      <c r="H180" s="257"/>
      <c r="I180" s="257"/>
      <c r="J180" s="257"/>
      <c r="K180" s="257"/>
      <c r="L180" s="257"/>
      <c r="M180" s="257"/>
      <c r="N180" s="257"/>
      <c r="O180" s="257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</row>
    <row r="181" ht="14.25" customHeight="1" spans="1:26" x14ac:dyDescent="0.25">
      <c r="A181" s="286"/>
      <c r="B181" s="287">
        <v>0</v>
      </c>
      <c r="C181" s="287">
        <v>0</v>
      </c>
      <c r="D181" s="287">
        <f>B181-C181</f>
      </c>
      <c r="E181" s="288">
        <v>0</v>
      </c>
      <c r="F181" s="289"/>
      <c r="G181" s="290"/>
      <c r="H181" s="257"/>
      <c r="I181" s="257"/>
      <c r="J181" s="257"/>
      <c r="K181" s="257"/>
      <c r="L181" s="257"/>
      <c r="M181" s="257"/>
      <c r="N181" s="257"/>
      <c r="O181" s="257"/>
      <c r="P181" s="257"/>
      <c r="Q181" s="257"/>
      <c r="R181" s="257"/>
      <c r="S181" s="257"/>
      <c r="T181" s="257"/>
      <c r="U181" s="257"/>
      <c r="V181" s="257"/>
      <c r="W181" s="257"/>
      <c r="X181" s="257"/>
      <c r="Y181" s="257"/>
      <c r="Z181" s="257"/>
    </row>
    <row r="182" ht="14.25" customHeight="1" spans="1:26" x14ac:dyDescent="0.25">
      <c r="A182" s="286"/>
      <c r="B182" s="287">
        <v>0</v>
      </c>
      <c r="C182" s="287">
        <v>0</v>
      </c>
      <c r="D182" s="287">
        <f>B182-C182</f>
      </c>
      <c r="E182" s="288">
        <v>0</v>
      </c>
      <c r="F182" s="289"/>
      <c r="G182" s="290"/>
      <c r="H182" s="257"/>
      <c r="I182" s="257"/>
      <c r="J182" s="257"/>
      <c r="K182" s="257"/>
      <c r="L182" s="257"/>
      <c r="M182" s="257"/>
      <c r="N182" s="257"/>
      <c r="O182" s="257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</row>
    <row r="183" ht="14.25" customHeight="1" spans="1:26" x14ac:dyDescent="0.25">
      <c r="A183" s="286"/>
      <c r="B183" s="287">
        <v>0</v>
      </c>
      <c r="C183" s="287">
        <v>0</v>
      </c>
      <c r="D183" s="287">
        <f>B183-C183</f>
      </c>
      <c r="E183" s="288">
        <v>0</v>
      </c>
      <c r="F183" s="289"/>
      <c r="G183" s="290"/>
      <c r="H183" s="257"/>
      <c r="I183" s="257"/>
      <c r="J183" s="257"/>
      <c r="K183" s="257"/>
      <c r="L183" s="257"/>
      <c r="M183" s="257"/>
      <c r="N183" s="257"/>
      <c r="O183" s="257"/>
      <c r="P183" s="257"/>
      <c r="Q183" s="257"/>
      <c r="R183" s="257"/>
      <c r="S183" s="257"/>
      <c r="T183" s="257"/>
      <c r="U183" s="257"/>
      <c r="V183" s="257"/>
      <c r="W183" s="257"/>
      <c r="X183" s="257"/>
      <c r="Y183" s="257"/>
      <c r="Z183" s="257"/>
    </row>
    <row r="184" ht="14.25" customHeight="1" spans="1:26" x14ac:dyDescent="0.25">
      <c r="A184" s="286"/>
      <c r="B184" s="287">
        <v>0</v>
      </c>
      <c r="C184" s="287">
        <v>0</v>
      </c>
      <c r="D184" s="287">
        <f>B184-C184</f>
      </c>
      <c r="E184" s="288">
        <v>0</v>
      </c>
      <c r="F184" s="289"/>
      <c r="G184" s="290"/>
      <c r="H184" s="257"/>
      <c r="I184" s="257"/>
      <c r="J184" s="257"/>
      <c r="K184" s="257"/>
      <c r="L184" s="257"/>
      <c r="M184" s="257"/>
      <c r="N184" s="257"/>
      <c r="O184" s="257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</row>
    <row r="185" ht="14.25" customHeight="1" spans="1:26" x14ac:dyDescent="0.25">
      <c r="A185" s="286"/>
      <c r="B185" s="287">
        <v>0</v>
      </c>
      <c r="C185" s="287">
        <v>0</v>
      </c>
      <c r="D185" s="287">
        <f>B185-C185</f>
      </c>
      <c r="E185" s="288">
        <v>0</v>
      </c>
      <c r="F185" s="289"/>
      <c r="G185" s="290"/>
      <c r="H185" s="257"/>
      <c r="I185" s="257"/>
      <c r="J185" s="257"/>
      <c r="K185" s="257"/>
      <c r="L185" s="257"/>
      <c r="M185" s="257"/>
      <c r="N185" s="257"/>
      <c r="O185" s="257"/>
      <c r="P185" s="257"/>
      <c r="Q185" s="257"/>
      <c r="R185" s="257"/>
      <c r="S185" s="257"/>
      <c r="T185" s="257"/>
      <c r="U185" s="257"/>
      <c r="V185" s="257"/>
      <c r="W185" s="257"/>
      <c r="X185" s="257"/>
      <c r="Y185" s="257"/>
      <c r="Z185" s="257"/>
    </row>
    <row r="186" ht="14.25" customHeight="1" spans="1:26" x14ac:dyDescent="0.25">
      <c r="A186" s="286"/>
      <c r="B186" s="287">
        <v>0</v>
      </c>
      <c r="C186" s="287">
        <v>0</v>
      </c>
      <c r="D186" s="287">
        <f>B186-C186</f>
      </c>
      <c r="E186" s="288">
        <v>0</v>
      </c>
      <c r="F186" s="289"/>
      <c r="G186" s="290"/>
      <c r="H186" s="257"/>
      <c r="I186" s="257"/>
      <c r="J186" s="257"/>
      <c r="K186" s="257"/>
      <c r="L186" s="257"/>
      <c r="M186" s="257"/>
      <c r="N186" s="257"/>
      <c r="O186" s="257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</row>
    <row r="187" ht="14.25" customHeight="1" spans="1:26" x14ac:dyDescent="0.25">
      <c r="A187" s="286"/>
      <c r="B187" s="287">
        <v>0</v>
      </c>
      <c r="C187" s="287">
        <v>0</v>
      </c>
      <c r="D187" s="287">
        <f>B187-C187</f>
      </c>
      <c r="E187" s="288">
        <v>0</v>
      </c>
      <c r="F187" s="289"/>
      <c r="G187" s="290"/>
      <c r="H187" s="257"/>
      <c r="I187" s="257"/>
      <c r="J187" s="257"/>
      <c r="K187" s="257"/>
      <c r="L187" s="257"/>
      <c r="M187" s="257"/>
      <c r="N187" s="257"/>
      <c r="O187" s="257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</row>
    <row r="188" ht="14.25" customHeight="1" spans="1:26" x14ac:dyDescent="0.25">
      <c r="A188" s="286"/>
      <c r="B188" s="287">
        <v>0</v>
      </c>
      <c r="C188" s="287">
        <v>0</v>
      </c>
      <c r="D188" s="287">
        <f>B188-C188</f>
      </c>
      <c r="E188" s="288">
        <v>0</v>
      </c>
      <c r="F188" s="289"/>
      <c r="G188" s="290"/>
      <c r="H188" s="257"/>
      <c r="I188" s="257"/>
      <c r="J188" s="257"/>
      <c r="K188" s="257"/>
      <c r="L188" s="257"/>
      <c r="M188" s="257"/>
      <c r="N188" s="257"/>
      <c r="O188" s="257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</row>
    <row r="189" ht="14.25" customHeight="1" spans="1:26" x14ac:dyDescent="0.25">
      <c r="A189" s="286"/>
      <c r="B189" s="287">
        <v>0</v>
      </c>
      <c r="C189" s="287">
        <v>0</v>
      </c>
      <c r="D189" s="287">
        <f>B189-C189</f>
      </c>
      <c r="E189" s="288">
        <v>0</v>
      </c>
      <c r="F189" s="289"/>
      <c r="G189" s="290"/>
      <c r="H189" s="257"/>
      <c r="I189" s="257"/>
      <c r="J189" s="257"/>
      <c r="K189" s="257"/>
      <c r="L189" s="257"/>
      <c r="M189" s="257"/>
      <c r="N189" s="257"/>
      <c r="O189" s="257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</row>
    <row r="190" ht="14.25" customHeight="1" spans="1:26" x14ac:dyDescent="0.25">
      <c r="A190" s="286"/>
      <c r="B190" s="287">
        <v>0</v>
      </c>
      <c r="C190" s="287">
        <v>0</v>
      </c>
      <c r="D190" s="287">
        <f>B190-C190</f>
      </c>
      <c r="E190" s="288">
        <v>0</v>
      </c>
      <c r="F190" s="289"/>
      <c r="G190" s="290"/>
      <c r="H190" s="257"/>
      <c r="I190" s="257"/>
      <c r="J190" s="257"/>
      <c r="K190" s="257"/>
      <c r="L190" s="257"/>
      <c r="M190" s="257"/>
      <c r="N190" s="257"/>
      <c r="O190" s="257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</row>
    <row r="191" ht="14.25" customHeight="1" spans="1:26" x14ac:dyDescent="0.25">
      <c r="A191" s="286"/>
      <c r="B191" s="287">
        <v>0</v>
      </c>
      <c r="C191" s="287">
        <v>0</v>
      </c>
      <c r="D191" s="287">
        <f>B191-C191</f>
      </c>
      <c r="E191" s="288">
        <v>0</v>
      </c>
      <c r="F191" s="289"/>
      <c r="G191" s="290"/>
      <c r="H191" s="257"/>
      <c r="I191" s="257"/>
      <c r="J191" s="257"/>
      <c r="K191" s="257"/>
      <c r="L191" s="257"/>
      <c r="M191" s="257"/>
      <c r="N191" s="257"/>
      <c r="O191" s="257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</row>
    <row r="192" ht="14.25" customHeight="1" spans="1:26" x14ac:dyDescent="0.25">
      <c r="A192" s="286"/>
      <c r="B192" s="287">
        <v>0</v>
      </c>
      <c r="C192" s="287">
        <v>0</v>
      </c>
      <c r="D192" s="287">
        <f>B192-C192</f>
      </c>
      <c r="E192" s="288">
        <v>0</v>
      </c>
      <c r="F192" s="289"/>
      <c r="G192" s="290"/>
      <c r="H192" s="257"/>
      <c r="I192" s="257"/>
      <c r="J192" s="257"/>
      <c r="K192" s="257"/>
      <c r="L192" s="257"/>
      <c r="M192" s="257"/>
      <c r="N192" s="257"/>
      <c r="O192" s="257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</row>
    <row r="193" ht="14.25" customHeight="1" spans="1:26" x14ac:dyDescent="0.25">
      <c r="A193" s="286"/>
      <c r="B193" s="287">
        <v>0</v>
      </c>
      <c r="C193" s="287">
        <v>0</v>
      </c>
      <c r="D193" s="287">
        <f>B193-C193</f>
      </c>
      <c r="E193" s="288">
        <v>0</v>
      </c>
      <c r="F193" s="289"/>
      <c r="G193" s="290"/>
      <c r="H193" s="257"/>
      <c r="I193" s="257"/>
      <c r="J193" s="257"/>
      <c r="K193" s="257"/>
      <c r="L193" s="257"/>
      <c r="M193" s="257"/>
      <c r="N193" s="257"/>
      <c r="O193" s="257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</row>
    <row r="194" ht="14.25" customHeight="1" spans="1:26" x14ac:dyDescent="0.25">
      <c r="A194" s="286"/>
      <c r="B194" s="287">
        <v>0</v>
      </c>
      <c r="C194" s="287">
        <v>0</v>
      </c>
      <c r="D194" s="287">
        <f>B194-C194</f>
      </c>
      <c r="E194" s="288">
        <v>0</v>
      </c>
      <c r="F194" s="289"/>
      <c r="G194" s="290"/>
      <c r="H194" s="257"/>
      <c r="I194" s="257"/>
      <c r="J194" s="257"/>
      <c r="K194" s="257"/>
      <c r="L194" s="257"/>
      <c r="M194" s="257"/>
      <c r="N194" s="257"/>
      <c r="O194" s="257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</row>
    <row r="195" ht="14.25" customHeight="1" spans="1:26" x14ac:dyDescent="0.25">
      <c r="A195" s="286"/>
      <c r="B195" s="287">
        <v>0</v>
      </c>
      <c r="C195" s="287">
        <v>0</v>
      </c>
      <c r="D195" s="287">
        <f>B195-C195</f>
      </c>
      <c r="E195" s="288">
        <v>0</v>
      </c>
      <c r="F195" s="289"/>
      <c r="G195" s="290"/>
      <c r="H195" s="257"/>
      <c r="I195" s="257"/>
      <c r="J195" s="257"/>
      <c r="K195" s="257"/>
      <c r="L195" s="257"/>
      <c r="M195" s="257"/>
      <c r="N195" s="257"/>
      <c r="O195" s="257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</row>
    <row r="196" ht="14.25" customHeight="1" spans="1:26" x14ac:dyDescent="0.25">
      <c r="A196" s="286"/>
      <c r="B196" s="287">
        <v>0</v>
      </c>
      <c r="C196" s="287">
        <v>0</v>
      </c>
      <c r="D196" s="287">
        <f>B196-C196</f>
      </c>
      <c r="E196" s="288">
        <v>0</v>
      </c>
      <c r="F196" s="289"/>
      <c r="G196" s="290"/>
      <c r="H196" s="257"/>
      <c r="I196" s="257"/>
      <c r="J196" s="257"/>
      <c r="K196" s="257"/>
      <c r="L196" s="257"/>
      <c r="M196" s="257"/>
      <c r="N196" s="257"/>
      <c r="O196" s="257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</row>
    <row r="197" ht="14.25" customHeight="1" spans="1:26" x14ac:dyDescent="0.25">
      <c r="A197" s="286"/>
      <c r="B197" s="287">
        <v>0</v>
      </c>
      <c r="C197" s="287">
        <v>0</v>
      </c>
      <c r="D197" s="287">
        <f>B197-C197</f>
      </c>
      <c r="E197" s="288">
        <v>0</v>
      </c>
      <c r="F197" s="289"/>
      <c r="G197" s="290"/>
      <c r="H197" s="257"/>
      <c r="I197" s="257"/>
      <c r="J197" s="257"/>
      <c r="K197" s="257"/>
      <c r="L197" s="257"/>
      <c r="M197" s="257"/>
      <c r="N197" s="257"/>
      <c r="O197" s="257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</row>
    <row r="198" ht="14.25" customHeight="1" spans="1:26" x14ac:dyDescent="0.25">
      <c r="A198" s="286"/>
      <c r="B198" s="287">
        <v>0</v>
      </c>
      <c r="C198" s="287">
        <v>0</v>
      </c>
      <c r="D198" s="287">
        <f>B198-C198</f>
      </c>
      <c r="E198" s="288">
        <v>0</v>
      </c>
      <c r="F198" s="289"/>
      <c r="G198" s="290"/>
      <c r="H198" s="257"/>
      <c r="I198" s="257"/>
      <c r="J198" s="257"/>
      <c r="K198" s="257"/>
      <c r="L198" s="257"/>
      <c r="M198" s="257"/>
      <c r="N198" s="257"/>
      <c r="O198" s="257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</row>
    <row r="199" ht="14.25" customHeight="1" spans="1:26" x14ac:dyDescent="0.25">
      <c r="A199" s="286"/>
      <c r="B199" s="287">
        <v>0</v>
      </c>
      <c r="C199" s="287">
        <v>0</v>
      </c>
      <c r="D199" s="287">
        <f>B199-C199</f>
      </c>
      <c r="E199" s="288">
        <v>0</v>
      </c>
      <c r="F199" s="289"/>
      <c r="G199" s="290"/>
      <c r="H199" s="257"/>
      <c r="I199" s="257"/>
      <c r="J199" s="257"/>
      <c r="K199" s="257"/>
      <c r="L199" s="257"/>
      <c r="M199" s="257"/>
      <c r="N199" s="257"/>
      <c r="O199" s="257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</row>
    <row r="200" ht="14.25" customHeight="1" spans="1:26" x14ac:dyDescent="0.25">
      <c r="A200" s="286"/>
      <c r="B200" s="287">
        <v>0</v>
      </c>
      <c r="C200" s="287">
        <v>0</v>
      </c>
      <c r="D200" s="287">
        <f>B200-C200</f>
      </c>
      <c r="E200" s="288">
        <v>0</v>
      </c>
      <c r="F200" s="289"/>
      <c r="G200" s="290"/>
      <c r="H200" s="257"/>
      <c r="I200" s="257"/>
      <c r="J200" s="257"/>
      <c r="K200" s="257"/>
      <c r="L200" s="257"/>
      <c r="M200" s="257"/>
      <c r="N200" s="257"/>
      <c r="O200" s="257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</row>
    <row r="201" ht="14.25" customHeight="1" spans="1:26" x14ac:dyDescent="0.25">
      <c r="A201" s="286"/>
      <c r="B201" s="287">
        <v>0</v>
      </c>
      <c r="C201" s="287">
        <v>0</v>
      </c>
      <c r="D201" s="287">
        <f>B201-C201</f>
      </c>
      <c r="E201" s="288">
        <v>0</v>
      </c>
      <c r="F201" s="289"/>
      <c r="G201" s="290"/>
      <c r="H201" s="257"/>
      <c r="I201" s="257"/>
      <c r="J201" s="257"/>
      <c r="K201" s="257"/>
      <c r="L201" s="257"/>
      <c r="M201" s="257"/>
      <c r="N201" s="257"/>
      <c r="O201" s="257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</row>
    <row r="202" ht="14.25" customHeight="1" spans="1:26" x14ac:dyDescent="0.25">
      <c r="A202" s="286"/>
      <c r="B202" s="287">
        <v>0</v>
      </c>
      <c r="C202" s="287">
        <v>0</v>
      </c>
      <c r="D202" s="287">
        <f>B202-C202</f>
      </c>
      <c r="E202" s="288">
        <v>0</v>
      </c>
      <c r="F202" s="289"/>
      <c r="G202" s="290"/>
      <c r="H202" s="257"/>
      <c r="I202" s="257"/>
      <c r="J202" s="257"/>
      <c r="K202" s="257"/>
      <c r="L202" s="257"/>
      <c r="M202" s="257"/>
      <c r="N202" s="257"/>
      <c r="O202" s="257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</row>
    <row r="203" ht="28.5" customHeight="1" spans="1:26" x14ac:dyDescent="0.25">
      <c r="A203" s="296" t="s">
        <v>210</v>
      </c>
      <c r="B203" s="297">
        <f>B17</f>
      </c>
      <c r="C203" s="297">
        <f>C18+C79+C120+C162</f>
      </c>
      <c r="D203" s="298">
        <f>D162+D120+D79+D18</f>
      </c>
      <c r="E203" s="299">
        <f>D203/B203</f>
      </c>
      <c r="F203" s="300"/>
      <c r="G203" s="301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</row>
    <row r="204" ht="14.25" customHeight="1" spans="1:26" x14ac:dyDescent="0.25">
      <c r="A204" s="302" t="s">
        <v>211</v>
      </c>
      <c r="B204" s="303"/>
      <c r="C204" s="304">
        <f>B203-C203</f>
      </c>
      <c r="D204" s="305"/>
      <c r="E204" s="306"/>
      <c r="F204" s="307"/>
      <c r="G204" s="290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</row>
    <row r="205" ht="14.25" customHeight="1" spans="1:26" x14ac:dyDescent="0.25">
      <c r="A205" s="302" t="s">
        <v>212</v>
      </c>
      <c r="B205" s="308"/>
      <c r="C205" s="308"/>
      <c r="D205" s="308"/>
      <c r="E205" s="309"/>
      <c r="F205" s="257"/>
      <c r="G205" s="290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</row>
    <row r="206" ht="14.25" customHeight="1" spans="1:26" x14ac:dyDescent="0.25">
      <c r="A206" s="310"/>
      <c r="B206" s="308"/>
      <c r="C206" s="308"/>
      <c r="D206" s="308"/>
      <c r="E206" s="309"/>
      <c r="F206" s="257"/>
      <c r="G206" s="271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</row>
    <row r="207" ht="18" customHeight="1" spans="1:26" x14ac:dyDescent="0.25">
      <c r="A207" s="310" t="s">
        <v>213</v>
      </c>
      <c r="B207" s="311"/>
      <c r="C207" s="308"/>
      <c r="D207" s="308"/>
      <c r="E207" s="309"/>
      <c r="F207" s="257"/>
      <c r="G207" s="271"/>
      <c r="H207" s="257"/>
      <c r="I207" s="257"/>
      <c r="J207" s="257"/>
      <c r="K207" s="257"/>
      <c r="L207" s="257"/>
      <c r="M207" s="257"/>
      <c r="N207" s="257"/>
      <c r="O207" s="257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</row>
    <row r="208" ht="18" customHeight="1" spans="1:26" x14ac:dyDescent="0.25">
      <c r="A208" s="312" t="s">
        <v>214</v>
      </c>
      <c r="B208" s="312"/>
      <c r="C208" s="312"/>
      <c r="D208" s="308"/>
      <c r="E208" s="309"/>
      <c r="F208" s="257"/>
      <c r="G208" s="271"/>
      <c r="H208" s="257"/>
      <c r="I208" s="257"/>
      <c r="J208" s="257"/>
      <c r="K208" s="257"/>
      <c r="L208" s="257"/>
      <c r="M208" s="257"/>
      <c r="N208" s="257"/>
      <c r="O208" s="257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</row>
    <row r="209" ht="60" customHeight="1" spans="1:26" x14ac:dyDescent="0.25">
      <c r="A209" s="312" t="s">
        <v>215</v>
      </c>
      <c r="B209" s="312"/>
      <c r="C209" s="308"/>
      <c r="D209" s="308"/>
      <c r="E209" s="309"/>
      <c r="F209" s="257"/>
      <c r="G209" s="271"/>
      <c r="H209" s="257"/>
      <c r="I209" s="257"/>
      <c r="J209" s="257"/>
      <c r="K209" s="257"/>
      <c r="L209" s="257"/>
      <c r="M209" s="257"/>
      <c r="N209" s="257"/>
      <c r="O209" s="257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</row>
    <row r="210" ht="18" customHeight="1" spans="1:26" x14ac:dyDescent="0.25">
      <c r="A210" s="312" t="s">
        <v>216</v>
      </c>
      <c r="B210" s="312"/>
      <c r="C210" s="308"/>
      <c r="D210" s="308"/>
      <c r="E210" s="309"/>
      <c r="F210" s="257"/>
      <c r="G210" s="271"/>
      <c r="H210" s="257"/>
      <c r="I210" s="257"/>
      <c r="J210" s="257"/>
      <c r="K210" s="257"/>
      <c r="L210" s="257"/>
      <c r="M210" s="257"/>
      <c r="N210" s="257"/>
      <c r="O210" s="257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</row>
    <row r="211" ht="18" customHeight="1" spans="1:26" x14ac:dyDescent="0.25">
      <c r="A211" s="312"/>
      <c r="B211" s="313"/>
      <c r="C211" s="308"/>
      <c r="D211" s="308"/>
      <c r="E211" s="309"/>
      <c r="F211" s="257"/>
      <c r="G211" s="271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</row>
    <row r="212" ht="18" customHeight="1" spans="1:26" x14ac:dyDescent="0.25">
      <c r="A212" s="312" t="s">
        <v>217</v>
      </c>
      <c r="B212" s="312"/>
      <c r="C212" s="312"/>
      <c r="D212" s="308"/>
      <c r="E212" s="309"/>
      <c r="F212" s="257"/>
      <c r="G212" s="271"/>
      <c r="H212" s="257"/>
      <c r="I212" s="257"/>
      <c r="J212" s="257"/>
      <c r="K212" s="257"/>
      <c r="L212" s="257"/>
      <c r="M212" s="257"/>
      <c r="N212" s="257"/>
      <c r="O212" s="257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</row>
    <row r="213" ht="43.5" customHeight="1" spans="1:26" x14ac:dyDescent="0.25">
      <c r="A213" s="312" t="s">
        <v>218</v>
      </c>
      <c r="B213" s="312"/>
      <c r="C213" s="308"/>
      <c r="D213" s="308"/>
      <c r="E213" s="309"/>
      <c r="F213" s="257"/>
      <c r="G213" s="271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</row>
    <row r="214" ht="18" customHeight="1" spans="1:26" x14ac:dyDescent="0.25">
      <c r="A214" s="312" t="s">
        <v>216</v>
      </c>
      <c r="B214" s="312"/>
      <c r="C214" s="308"/>
      <c r="D214" s="308"/>
      <c r="E214" s="309"/>
      <c r="F214" s="257"/>
      <c r="G214" s="271"/>
      <c r="H214" s="257"/>
      <c r="I214" s="257"/>
      <c r="J214" s="257"/>
      <c r="K214" s="257"/>
      <c r="L214" s="257"/>
      <c r="M214" s="257"/>
      <c r="N214" s="257"/>
      <c r="O214" s="257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</row>
    <row r="215" ht="14.25" customHeight="1" spans="1:26" x14ac:dyDescent="0.25">
      <c r="A215" s="257"/>
      <c r="B215" s="308"/>
      <c r="C215" s="308"/>
      <c r="D215" s="308"/>
      <c r="E215" s="309"/>
      <c r="F215" s="257"/>
      <c r="G215" s="271"/>
      <c r="H215" s="257"/>
      <c r="I215" s="257"/>
      <c r="J215" s="257"/>
      <c r="K215" s="257"/>
      <c r="L215" s="257"/>
      <c r="M215" s="257"/>
      <c r="N215" s="257"/>
      <c r="O215" s="257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</row>
    <row r="216" ht="14.25" customHeight="1" spans="1:26" x14ac:dyDescent="0.25">
      <c r="A216" s="257"/>
      <c r="B216" s="308"/>
      <c r="C216" s="308"/>
      <c r="D216" s="308"/>
      <c r="E216" s="309"/>
      <c r="F216" s="257"/>
      <c r="G216" s="271"/>
      <c r="H216" s="257"/>
      <c r="I216" s="257"/>
      <c r="J216" s="257"/>
      <c r="K216" s="257"/>
      <c r="L216" s="257"/>
      <c r="M216" s="257"/>
      <c r="N216" s="257"/>
      <c r="O216" s="257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</row>
    <row r="217" ht="14.25" customHeight="1" spans="1:26" x14ac:dyDescent="0.25">
      <c r="A217" s="257"/>
      <c r="B217" s="308"/>
      <c r="C217" s="308"/>
      <c r="D217" s="308"/>
      <c r="E217" s="309"/>
      <c r="F217" s="257"/>
      <c r="G217" s="271"/>
      <c r="H217" s="257"/>
      <c r="I217" s="257"/>
      <c r="J217" s="257"/>
      <c r="K217" s="257"/>
      <c r="L217" s="257"/>
      <c r="M217" s="257"/>
      <c r="N217" s="257"/>
      <c r="O217" s="257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</row>
    <row r="218" ht="14.25" customHeight="1" spans="1:26" x14ac:dyDescent="0.25">
      <c r="A218" s="257"/>
      <c r="B218" s="308"/>
      <c r="C218" s="308"/>
      <c r="D218" s="308"/>
      <c r="E218" s="309"/>
      <c r="F218" s="257"/>
      <c r="G218" s="271"/>
      <c r="H218" s="257"/>
      <c r="I218" s="257"/>
      <c r="J218" s="257"/>
      <c r="K218" s="257"/>
      <c r="L218" s="257"/>
      <c r="M218" s="257"/>
      <c r="N218" s="257"/>
      <c r="O218" s="257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</row>
    <row r="219" ht="14.25" customHeight="1" spans="1:26" x14ac:dyDescent="0.25">
      <c r="A219" s="257"/>
      <c r="B219" s="308"/>
      <c r="C219" s="308"/>
      <c r="D219" s="308"/>
      <c r="E219" s="309"/>
      <c r="F219" s="257"/>
      <c r="G219" s="271"/>
      <c r="H219" s="257"/>
      <c r="I219" s="257"/>
      <c r="J219" s="257"/>
      <c r="K219" s="257"/>
      <c r="L219" s="257"/>
      <c r="M219" s="257"/>
      <c r="N219" s="257"/>
      <c r="O219" s="257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</row>
    <row r="220" ht="14.25" customHeight="1" spans="1:26" x14ac:dyDescent="0.25">
      <c r="A220" s="257"/>
      <c r="B220" s="308"/>
      <c r="C220" s="308"/>
      <c r="D220" s="308"/>
      <c r="E220" s="309"/>
      <c r="F220" s="257"/>
      <c r="G220" s="271"/>
      <c r="H220" s="257"/>
      <c r="I220" s="257"/>
      <c r="J220" s="257"/>
      <c r="K220" s="257"/>
      <c r="L220" s="257"/>
      <c r="M220" s="257"/>
      <c r="N220" s="257"/>
      <c r="O220" s="257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</row>
    <row r="221" ht="14.25" customHeight="1" spans="1:26" x14ac:dyDescent="0.25">
      <c r="A221" s="257"/>
      <c r="B221" s="308"/>
      <c r="C221" s="308"/>
      <c r="D221" s="308"/>
      <c r="E221" s="309"/>
      <c r="F221" s="257"/>
      <c r="G221" s="271"/>
      <c r="H221" s="257"/>
      <c r="I221" s="257"/>
      <c r="J221" s="257"/>
      <c r="K221" s="257"/>
      <c r="L221" s="257"/>
      <c r="M221" s="257"/>
      <c r="N221" s="257"/>
      <c r="O221" s="257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</row>
    <row r="222" ht="14.25" customHeight="1" spans="1:26" x14ac:dyDescent="0.25">
      <c r="A222" s="257"/>
      <c r="B222" s="308"/>
      <c r="C222" s="308"/>
      <c r="D222" s="308"/>
      <c r="E222" s="309"/>
      <c r="F222" s="257"/>
      <c r="G222" s="271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</row>
    <row r="223" ht="14.25" customHeight="1" spans="1:26" x14ac:dyDescent="0.25">
      <c r="A223" s="257"/>
      <c r="B223" s="308"/>
      <c r="C223" s="308"/>
      <c r="D223" s="308"/>
      <c r="E223" s="309"/>
      <c r="F223" s="257"/>
      <c r="G223" s="271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</row>
    <row r="224" ht="14.25" customHeight="1" spans="1:26" x14ac:dyDescent="0.25">
      <c r="A224" s="257"/>
      <c r="B224" s="308"/>
      <c r="C224" s="308"/>
      <c r="D224" s="308"/>
      <c r="E224" s="309"/>
      <c r="F224" s="257"/>
      <c r="G224" s="271"/>
      <c r="H224" s="257"/>
      <c r="I224" s="257"/>
      <c r="J224" s="257"/>
      <c r="K224" s="257"/>
      <c r="L224" s="257"/>
      <c r="M224" s="257"/>
      <c r="N224" s="257"/>
      <c r="O224" s="257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</row>
    <row r="225" ht="14.25" customHeight="1" spans="1:26" x14ac:dyDescent="0.25">
      <c r="A225" s="257"/>
      <c r="B225" s="308"/>
      <c r="C225" s="308"/>
      <c r="D225" s="308"/>
      <c r="E225" s="309"/>
      <c r="F225" s="257"/>
      <c r="G225" s="271"/>
      <c r="H225" s="257"/>
      <c r="I225" s="257"/>
      <c r="J225" s="257"/>
      <c r="K225" s="257"/>
      <c r="L225" s="257"/>
      <c r="M225" s="257"/>
      <c r="N225" s="257"/>
      <c r="O225" s="257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</row>
    <row r="226" ht="14.25" customHeight="1" spans="1:26" x14ac:dyDescent="0.25">
      <c r="A226" s="257"/>
      <c r="B226" s="308"/>
      <c r="C226" s="308"/>
      <c r="D226" s="308"/>
      <c r="E226" s="309"/>
      <c r="F226" s="257"/>
      <c r="G226" s="271"/>
      <c r="H226" s="257"/>
      <c r="I226" s="257"/>
      <c r="J226" s="257"/>
      <c r="K226" s="257"/>
      <c r="L226" s="257"/>
      <c r="M226" s="257"/>
      <c r="N226" s="257"/>
      <c r="O226" s="257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</row>
    <row r="227" ht="14.25" customHeight="1" spans="1:26" x14ac:dyDescent="0.25">
      <c r="A227" s="257"/>
      <c r="B227" s="308"/>
      <c r="C227" s="308"/>
      <c r="D227" s="308"/>
      <c r="E227" s="309"/>
      <c r="F227" s="257"/>
      <c r="G227" s="271"/>
      <c r="H227" s="257"/>
      <c r="I227" s="257"/>
      <c r="J227" s="257"/>
      <c r="K227" s="257"/>
      <c r="L227" s="257"/>
      <c r="M227" s="257"/>
      <c r="N227" s="257"/>
      <c r="O227" s="257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</row>
    <row r="228" ht="14.25" customHeight="1" spans="1:26" x14ac:dyDescent="0.25">
      <c r="A228" s="257"/>
      <c r="B228" s="308"/>
      <c r="C228" s="308"/>
      <c r="D228" s="308"/>
      <c r="E228" s="309"/>
      <c r="F228" s="257"/>
      <c r="G228" s="271"/>
      <c r="H228" s="257"/>
      <c r="I228" s="257"/>
      <c r="J228" s="257"/>
      <c r="K228" s="257"/>
      <c r="L228" s="257"/>
      <c r="M228" s="257"/>
      <c r="N228" s="257"/>
      <c r="O228" s="257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</row>
    <row r="229" ht="14.25" customHeight="1" spans="1:26" x14ac:dyDescent="0.25">
      <c r="A229" s="257"/>
      <c r="B229" s="308"/>
      <c r="C229" s="308"/>
      <c r="D229" s="308"/>
      <c r="E229" s="309"/>
      <c r="F229" s="257"/>
      <c r="G229" s="271"/>
      <c r="H229" s="257"/>
      <c r="I229" s="257"/>
      <c r="J229" s="257"/>
      <c r="K229" s="257"/>
      <c r="L229" s="257"/>
      <c r="M229" s="257"/>
      <c r="N229" s="257"/>
      <c r="O229" s="257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</row>
    <row r="230" ht="14.25" customHeight="1" spans="1:26" x14ac:dyDescent="0.25">
      <c r="A230" s="257"/>
      <c r="B230" s="308"/>
      <c r="C230" s="308"/>
      <c r="D230" s="308"/>
      <c r="E230" s="309"/>
      <c r="F230" s="257"/>
      <c r="G230" s="271"/>
      <c r="H230" s="257"/>
      <c r="I230" s="257"/>
      <c r="J230" s="257"/>
      <c r="K230" s="257"/>
      <c r="L230" s="257"/>
      <c r="M230" s="257"/>
      <c r="N230" s="257"/>
      <c r="O230" s="257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</row>
    <row r="231" ht="14.25" customHeight="1" spans="1:26" x14ac:dyDescent="0.25">
      <c r="A231" s="257"/>
      <c r="B231" s="308"/>
      <c r="C231" s="308"/>
      <c r="D231" s="308"/>
      <c r="E231" s="309"/>
      <c r="F231" s="257"/>
      <c r="G231" s="271"/>
      <c r="H231" s="257"/>
      <c r="I231" s="257"/>
      <c r="J231" s="257"/>
      <c r="K231" s="257"/>
      <c r="L231" s="257"/>
      <c r="M231" s="257"/>
      <c r="N231" s="257"/>
      <c r="O231" s="257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</row>
    <row r="232" ht="14.25" customHeight="1" spans="1:26" x14ac:dyDescent="0.25">
      <c r="A232" s="257"/>
      <c r="B232" s="308"/>
      <c r="C232" s="308"/>
      <c r="D232" s="308"/>
      <c r="E232" s="309"/>
      <c r="F232" s="257"/>
      <c r="G232" s="271"/>
      <c r="H232" s="257"/>
      <c r="I232" s="257"/>
      <c r="J232" s="257"/>
      <c r="K232" s="257"/>
      <c r="L232" s="257"/>
      <c r="M232" s="257"/>
      <c r="N232" s="257"/>
      <c r="O232" s="257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</row>
    <row r="233" ht="14.25" customHeight="1" spans="1:26" x14ac:dyDescent="0.25">
      <c r="A233" s="257"/>
      <c r="B233" s="308"/>
      <c r="C233" s="308"/>
      <c r="D233" s="308"/>
      <c r="E233" s="309"/>
      <c r="F233" s="257"/>
      <c r="G233" s="271"/>
      <c r="H233" s="257"/>
      <c r="I233" s="257"/>
      <c r="J233" s="257"/>
      <c r="K233" s="257"/>
      <c r="L233" s="257"/>
      <c r="M233" s="257"/>
      <c r="N233" s="257"/>
      <c r="O233" s="257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</row>
    <row r="234" ht="14.25" customHeight="1" spans="1:26" x14ac:dyDescent="0.25">
      <c r="A234" s="257"/>
      <c r="B234" s="308"/>
      <c r="C234" s="308"/>
      <c r="D234" s="308"/>
      <c r="E234" s="309"/>
      <c r="F234" s="257"/>
      <c r="G234" s="271"/>
      <c r="H234" s="257"/>
      <c r="I234" s="257"/>
      <c r="J234" s="257"/>
      <c r="K234" s="257"/>
      <c r="L234" s="257"/>
      <c r="M234" s="257"/>
      <c r="N234" s="257"/>
      <c r="O234" s="257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</row>
    <row r="235" ht="14.25" customHeight="1" spans="1:26" x14ac:dyDescent="0.25">
      <c r="A235" s="257"/>
      <c r="B235" s="308"/>
      <c r="C235" s="308"/>
      <c r="D235" s="308"/>
      <c r="E235" s="309"/>
      <c r="F235" s="257"/>
      <c r="G235" s="271"/>
      <c r="H235" s="257"/>
      <c r="I235" s="257"/>
      <c r="J235" s="257"/>
      <c r="K235" s="257"/>
      <c r="L235" s="257"/>
      <c r="M235" s="257"/>
      <c r="N235" s="257"/>
      <c r="O235" s="257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</row>
    <row r="236" ht="14.25" customHeight="1" spans="1:26" x14ac:dyDescent="0.25">
      <c r="A236" s="257"/>
      <c r="B236" s="308"/>
      <c r="C236" s="308"/>
      <c r="D236" s="308"/>
      <c r="E236" s="309"/>
      <c r="F236" s="257"/>
      <c r="G236" s="271"/>
      <c r="H236" s="257"/>
      <c r="I236" s="257"/>
      <c r="J236" s="257"/>
      <c r="K236" s="257"/>
      <c r="L236" s="257"/>
      <c r="M236" s="257"/>
      <c r="N236" s="257"/>
      <c r="O236" s="257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</row>
    <row r="237" ht="14.25" customHeight="1" spans="1:26" x14ac:dyDescent="0.25">
      <c r="A237" s="257"/>
      <c r="B237" s="308"/>
      <c r="C237" s="308"/>
      <c r="D237" s="308"/>
      <c r="E237" s="309"/>
      <c r="F237" s="257"/>
      <c r="G237" s="271"/>
      <c r="H237" s="257"/>
      <c r="I237" s="257"/>
      <c r="J237" s="257"/>
      <c r="K237" s="257"/>
      <c r="L237" s="257"/>
      <c r="M237" s="257"/>
      <c r="N237" s="257"/>
      <c r="O237" s="257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</row>
    <row r="238" ht="14.25" customHeight="1" spans="1:26" x14ac:dyDescent="0.25">
      <c r="A238" s="257"/>
      <c r="B238" s="308"/>
      <c r="C238" s="308"/>
      <c r="D238" s="308"/>
      <c r="E238" s="309"/>
      <c r="F238" s="257"/>
      <c r="G238" s="271"/>
      <c r="H238" s="257"/>
      <c r="I238" s="257"/>
      <c r="J238" s="257"/>
      <c r="K238" s="257"/>
      <c r="L238" s="257"/>
      <c r="M238" s="257"/>
      <c r="N238" s="257"/>
      <c r="O238" s="257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</row>
    <row r="239" ht="14.25" customHeight="1" spans="1:26" x14ac:dyDescent="0.25">
      <c r="A239" s="257"/>
      <c r="B239" s="308"/>
      <c r="C239" s="308"/>
      <c r="D239" s="308"/>
      <c r="E239" s="309"/>
      <c r="F239" s="257"/>
      <c r="G239" s="271"/>
      <c r="H239" s="257"/>
      <c r="I239" s="257"/>
      <c r="J239" s="257"/>
      <c r="K239" s="257"/>
      <c r="L239" s="257"/>
      <c r="M239" s="257"/>
      <c r="N239" s="257"/>
      <c r="O239" s="257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</row>
    <row r="240" ht="14.25" customHeight="1" spans="1:26" x14ac:dyDescent="0.25">
      <c r="A240" s="257"/>
      <c r="B240" s="308"/>
      <c r="C240" s="308"/>
      <c r="D240" s="308"/>
      <c r="E240" s="309"/>
      <c r="F240" s="257"/>
      <c r="G240" s="271"/>
      <c r="H240" s="257"/>
      <c r="I240" s="257"/>
      <c r="J240" s="257"/>
      <c r="K240" s="257"/>
      <c r="L240" s="257"/>
      <c r="M240" s="257"/>
      <c r="N240" s="257"/>
      <c r="O240" s="257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</row>
    <row r="241" ht="14.25" customHeight="1" spans="1:26" x14ac:dyDescent="0.25">
      <c r="A241" s="257"/>
      <c r="B241" s="308"/>
      <c r="C241" s="308"/>
      <c r="D241" s="308"/>
      <c r="E241" s="309"/>
      <c r="F241" s="257"/>
      <c r="G241" s="271"/>
      <c r="H241" s="257"/>
      <c r="I241" s="257"/>
      <c r="J241" s="257"/>
      <c r="K241" s="257"/>
      <c r="L241" s="257"/>
      <c r="M241" s="257"/>
      <c r="N241" s="257"/>
      <c r="O241" s="257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</row>
    <row r="242" ht="14.25" customHeight="1" spans="1:26" x14ac:dyDescent="0.25">
      <c r="A242" s="257"/>
      <c r="B242" s="308"/>
      <c r="C242" s="308"/>
      <c r="D242" s="308"/>
      <c r="E242" s="309"/>
      <c r="F242" s="257"/>
      <c r="G242" s="271"/>
      <c r="H242" s="257"/>
      <c r="I242" s="257"/>
      <c r="J242" s="257"/>
      <c r="K242" s="257"/>
      <c r="L242" s="257"/>
      <c r="M242" s="257"/>
      <c r="N242" s="257"/>
      <c r="O242" s="257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</row>
    <row r="243" ht="14.25" customHeight="1" spans="1:26" x14ac:dyDescent="0.25">
      <c r="A243" s="257"/>
      <c r="B243" s="308"/>
      <c r="C243" s="308"/>
      <c r="D243" s="308"/>
      <c r="E243" s="309"/>
      <c r="F243" s="257"/>
      <c r="G243" s="271"/>
      <c r="H243" s="257"/>
      <c r="I243" s="257"/>
      <c r="J243" s="257"/>
      <c r="K243" s="257"/>
      <c r="L243" s="257"/>
      <c r="M243" s="257"/>
      <c r="N243" s="257"/>
      <c r="O243" s="257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</row>
    <row r="244" ht="14.25" customHeight="1" spans="1:26" x14ac:dyDescent="0.25">
      <c r="A244" s="257"/>
      <c r="B244" s="308"/>
      <c r="C244" s="308"/>
      <c r="D244" s="308"/>
      <c r="E244" s="309"/>
      <c r="F244" s="257"/>
      <c r="G244" s="271"/>
      <c r="H244" s="257"/>
      <c r="I244" s="257"/>
      <c r="J244" s="257"/>
      <c r="K244" s="257"/>
      <c r="L244" s="257"/>
      <c r="M244" s="257"/>
      <c r="N244" s="257"/>
      <c r="O244" s="257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</row>
    <row r="245" ht="14.25" customHeight="1" spans="1:26" x14ac:dyDescent="0.25">
      <c r="A245" s="257"/>
      <c r="B245" s="308"/>
      <c r="C245" s="308"/>
      <c r="D245" s="308"/>
      <c r="E245" s="309"/>
      <c r="F245" s="257"/>
      <c r="G245" s="271"/>
      <c r="H245" s="257"/>
      <c r="I245" s="257"/>
      <c r="J245" s="257"/>
      <c r="K245" s="257"/>
      <c r="L245" s="257"/>
      <c r="M245" s="257"/>
      <c r="N245" s="257"/>
      <c r="O245" s="257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</row>
    <row r="246" ht="14.25" customHeight="1" spans="1:26" x14ac:dyDescent="0.25">
      <c r="A246" s="257"/>
      <c r="B246" s="308"/>
      <c r="C246" s="308"/>
      <c r="D246" s="308"/>
      <c r="E246" s="309"/>
      <c r="F246" s="257"/>
      <c r="G246" s="271"/>
      <c r="H246" s="257"/>
      <c r="I246" s="257"/>
      <c r="J246" s="257"/>
      <c r="K246" s="257"/>
      <c r="L246" s="257"/>
      <c r="M246" s="257"/>
      <c r="N246" s="257"/>
      <c r="O246" s="257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</row>
    <row r="247" ht="14.25" customHeight="1" spans="1:26" x14ac:dyDescent="0.25">
      <c r="A247" s="257"/>
      <c r="B247" s="308"/>
      <c r="C247" s="308"/>
      <c r="D247" s="308"/>
      <c r="E247" s="309"/>
      <c r="F247" s="257"/>
      <c r="G247" s="271"/>
      <c r="H247" s="257"/>
      <c r="I247" s="257"/>
      <c r="J247" s="257"/>
      <c r="K247" s="257"/>
      <c r="L247" s="257"/>
      <c r="M247" s="257"/>
      <c r="N247" s="257"/>
      <c r="O247" s="257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</row>
    <row r="248" ht="14.25" customHeight="1" spans="1:26" x14ac:dyDescent="0.25">
      <c r="A248" s="257"/>
      <c r="B248" s="308"/>
      <c r="C248" s="308"/>
      <c r="D248" s="308"/>
      <c r="E248" s="309"/>
      <c r="F248" s="257"/>
      <c r="G248" s="271"/>
      <c r="H248" s="257"/>
      <c r="I248" s="257"/>
      <c r="J248" s="257"/>
      <c r="K248" s="257"/>
      <c r="L248" s="257"/>
      <c r="M248" s="257"/>
      <c r="N248" s="257"/>
      <c r="O248" s="257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</row>
    <row r="249" ht="14.25" customHeight="1" spans="1:26" x14ac:dyDescent="0.25">
      <c r="A249" s="257"/>
      <c r="B249" s="308"/>
      <c r="C249" s="308"/>
      <c r="D249" s="308"/>
      <c r="E249" s="309"/>
      <c r="F249" s="257"/>
      <c r="G249" s="271"/>
      <c r="H249" s="257"/>
      <c r="I249" s="257"/>
      <c r="J249" s="257"/>
      <c r="K249" s="257"/>
      <c r="L249" s="257"/>
      <c r="M249" s="257"/>
      <c r="N249" s="257"/>
      <c r="O249" s="257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</row>
    <row r="250" ht="14.25" customHeight="1" spans="1:26" x14ac:dyDescent="0.25">
      <c r="A250" s="257"/>
      <c r="B250" s="308"/>
      <c r="C250" s="308"/>
      <c r="D250" s="308"/>
      <c r="E250" s="309"/>
      <c r="F250" s="257"/>
      <c r="G250" s="271"/>
      <c r="H250" s="257"/>
      <c r="I250" s="257"/>
      <c r="J250" s="257"/>
      <c r="K250" s="257"/>
      <c r="L250" s="257"/>
      <c r="M250" s="257"/>
      <c r="N250" s="257"/>
      <c r="O250" s="257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</row>
    <row r="251" ht="14.25" customHeight="1" spans="1:26" x14ac:dyDescent="0.25">
      <c r="A251" s="257"/>
      <c r="B251" s="308"/>
      <c r="C251" s="308"/>
      <c r="D251" s="308"/>
      <c r="E251" s="309"/>
      <c r="F251" s="257"/>
      <c r="G251" s="271"/>
      <c r="H251" s="257"/>
      <c r="I251" s="257"/>
      <c r="J251" s="257"/>
      <c r="K251" s="257"/>
      <c r="L251" s="257"/>
      <c r="M251" s="257"/>
      <c r="N251" s="257"/>
      <c r="O251" s="257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</row>
    <row r="252" ht="14.25" customHeight="1" spans="1:26" x14ac:dyDescent="0.25">
      <c r="A252" s="257"/>
      <c r="B252" s="308"/>
      <c r="C252" s="308"/>
      <c r="D252" s="308"/>
      <c r="E252" s="309"/>
      <c r="F252" s="257"/>
      <c r="G252" s="271"/>
      <c r="H252" s="257"/>
      <c r="I252" s="257"/>
      <c r="J252" s="257"/>
      <c r="K252" s="257"/>
      <c r="L252" s="257"/>
      <c r="M252" s="257"/>
      <c r="N252" s="257"/>
      <c r="O252" s="257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</row>
    <row r="253" ht="14.25" customHeight="1" spans="1:26" x14ac:dyDescent="0.25">
      <c r="A253" s="257"/>
      <c r="B253" s="308"/>
      <c r="C253" s="308"/>
      <c r="D253" s="308"/>
      <c r="E253" s="309"/>
      <c r="F253" s="257"/>
      <c r="G253" s="271"/>
      <c r="H253" s="257"/>
      <c r="I253" s="257"/>
      <c r="J253" s="257"/>
      <c r="K253" s="257"/>
      <c r="L253" s="257"/>
      <c r="M253" s="257"/>
      <c r="N253" s="257"/>
      <c r="O253" s="257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</row>
    <row r="254" ht="14.25" customHeight="1" spans="1:26" x14ac:dyDescent="0.25">
      <c r="A254" s="257"/>
      <c r="B254" s="308"/>
      <c r="C254" s="308"/>
      <c r="D254" s="308"/>
      <c r="E254" s="309"/>
      <c r="F254" s="257"/>
      <c r="G254" s="271"/>
      <c r="H254" s="257"/>
      <c r="I254" s="257"/>
      <c r="J254" s="257"/>
      <c r="K254" s="257"/>
      <c r="L254" s="257"/>
      <c r="M254" s="257"/>
      <c r="N254" s="257"/>
      <c r="O254" s="257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</row>
    <row r="255" ht="14.25" customHeight="1" spans="1:26" x14ac:dyDescent="0.25">
      <c r="A255" s="257"/>
      <c r="B255" s="308"/>
      <c r="C255" s="308"/>
      <c r="D255" s="308"/>
      <c r="E255" s="309"/>
      <c r="F255" s="257"/>
      <c r="G255" s="271"/>
      <c r="H255" s="257"/>
      <c r="I255" s="257"/>
      <c r="J255" s="257"/>
      <c r="K255" s="257"/>
      <c r="L255" s="257"/>
      <c r="M255" s="257"/>
      <c r="N255" s="257"/>
      <c r="O255" s="257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</row>
    <row r="256" ht="14.25" customHeight="1" spans="1:26" x14ac:dyDescent="0.25">
      <c r="A256" s="257"/>
      <c r="B256" s="308"/>
      <c r="C256" s="308"/>
      <c r="D256" s="308"/>
      <c r="E256" s="309"/>
      <c r="F256" s="257"/>
      <c r="G256" s="271"/>
      <c r="H256" s="257"/>
      <c r="I256" s="257"/>
      <c r="J256" s="257"/>
      <c r="K256" s="257"/>
      <c r="L256" s="257"/>
      <c r="M256" s="257"/>
      <c r="N256" s="257"/>
      <c r="O256" s="257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</row>
    <row r="257" ht="14.25" customHeight="1" spans="1:26" x14ac:dyDescent="0.25">
      <c r="A257" s="257"/>
      <c r="B257" s="308"/>
      <c r="C257" s="308"/>
      <c r="D257" s="308"/>
      <c r="E257" s="309"/>
      <c r="F257" s="257"/>
      <c r="G257" s="271"/>
      <c r="H257" s="257"/>
      <c r="I257" s="257"/>
      <c r="J257" s="257"/>
      <c r="K257" s="257"/>
      <c r="L257" s="257"/>
      <c r="M257" s="257"/>
      <c r="N257" s="257"/>
      <c r="O257" s="257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</row>
    <row r="258" ht="14.25" customHeight="1" spans="1:26" x14ac:dyDescent="0.25">
      <c r="A258" s="257"/>
      <c r="B258" s="308"/>
      <c r="C258" s="308"/>
      <c r="D258" s="308"/>
      <c r="E258" s="309"/>
      <c r="F258" s="257"/>
      <c r="G258" s="271"/>
      <c r="H258" s="257"/>
      <c r="I258" s="257"/>
      <c r="J258" s="257"/>
      <c r="K258" s="257"/>
      <c r="L258" s="257"/>
      <c r="M258" s="257"/>
      <c r="N258" s="257"/>
      <c r="O258" s="257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</row>
    <row r="259" ht="14.25" customHeight="1" spans="1:26" x14ac:dyDescent="0.25">
      <c r="A259" s="257"/>
      <c r="B259" s="308"/>
      <c r="C259" s="308"/>
      <c r="D259" s="308"/>
      <c r="E259" s="309"/>
      <c r="F259" s="257"/>
      <c r="G259" s="271"/>
      <c r="H259" s="257"/>
      <c r="I259" s="257"/>
      <c r="J259" s="257"/>
      <c r="K259" s="257"/>
      <c r="L259" s="257"/>
      <c r="M259" s="257"/>
      <c r="N259" s="257"/>
      <c r="O259" s="257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</row>
    <row r="260" ht="14.25" customHeight="1" spans="1:26" x14ac:dyDescent="0.25">
      <c r="A260" s="257"/>
      <c r="B260" s="308"/>
      <c r="C260" s="308"/>
      <c r="D260" s="308"/>
      <c r="E260" s="309"/>
      <c r="F260" s="257"/>
      <c r="G260" s="271"/>
      <c r="H260" s="257"/>
      <c r="I260" s="257"/>
      <c r="J260" s="257"/>
      <c r="K260" s="257"/>
      <c r="L260" s="257"/>
      <c r="M260" s="257"/>
      <c r="N260" s="257"/>
      <c r="O260" s="257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</row>
    <row r="261" ht="14.25" customHeight="1" spans="1:26" x14ac:dyDescent="0.25">
      <c r="A261" s="257"/>
      <c r="B261" s="308"/>
      <c r="C261" s="308"/>
      <c r="D261" s="308"/>
      <c r="E261" s="309"/>
      <c r="F261" s="257"/>
      <c r="G261" s="271"/>
      <c r="H261" s="257"/>
      <c r="I261" s="257"/>
      <c r="J261" s="257"/>
      <c r="K261" s="257"/>
      <c r="L261" s="257"/>
      <c r="M261" s="257"/>
      <c r="N261" s="257"/>
      <c r="O261" s="257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</row>
    <row r="262" ht="14.25" customHeight="1" spans="1:26" x14ac:dyDescent="0.25">
      <c r="A262" s="257"/>
      <c r="B262" s="308"/>
      <c r="C262" s="308"/>
      <c r="D262" s="308"/>
      <c r="E262" s="309"/>
      <c r="F262" s="257"/>
      <c r="G262" s="271"/>
      <c r="H262" s="257"/>
      <c r="I262" s="257"/>
      <c r="J262" s="257"/>
      <c r="K262" s="257"/>
      <c r="L262" s="257"/>
      <c r="M262" s="257"/>
      <c r="N262" s="257"/>
      <c r="O262" s="257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</row>
    <row r="263" ht="14.25" customHeight="1" spans="1:26" x14ac:dyDescent="0.25">
      <c r="A263" s="257"/>
      <c r="B263" s="308"/>
      <c r="C263" s="308"/>
      <c r="D263" s="308"/>
      <c r="E263" s="309"/>
      <c r="F263" s="257"/>
      <c r="G263" s="271"/>
      <c r="H263" s="257"/>
      <c r="I263" s="257"/>
      <c r="J263" s="257"/>
      <c r="K263" s="257"/>
      <c r="L263" s="257"/>
      <c r="M263" s="257"/>
      <c r="N263" s="257"/>
      <c r="O263" s="257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</row>
    <row r="264" ht="14.25" customHeight="1" spans="1:26" x14ac:dyDescent="0.25">
      <c r="A264" s="257"/>
      <c r="B264" s="308"/>
      <c r="C264" s="308"/>
      <c r="D264" s="308"/>
      <c r="E264" s="309"/>
      <c r="F264" s="257"/>
      <c r="G264" s="271"/>
      <c r="H264" s="257"/>
      <c r="I264" s="257"/>
      <c r="J264" s="257"/>
      <c r="K264" s="257"/>
      <c r="L264" s="257"/>
      <c r="M264" s="257"/>
      <c r="N264" s="257"/>
      <c r="O264" s="257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</row>
    <row r="265" ht="14.25" customHeight="1" spans="1:26" x14ac:dyDescent="0.25">
      <c r="A265" s="257"/>
      <c r="B265" s="308"/>
      <c r="C265" s="308"/>
      <c r="D265" s="308"/>
      <c r="E265" s="309"/>
      <c r="F265" s="257"/>
      <c r="G265" s="271"/>
      <c r="H265" s="257"/>
      <c r="I265" s="257"/>
      <c r="J265" s="257"/>
      <c r="K265" s="257"/>
      <c r="L265" s="257"/>
      <c r="M265" s="257"/>
      <c r="N265" s="257"/>
      <c r="O265" s="257"/>
      <c r="P265" s="257"/>
      <c r="Q265" s="257"/>
      <c r="R265" s="257"/>
      <c r="S265" s="257"/>
      <c r="T265" s="257"/>
      <c r="U265" s="257"/>
      <c r="V265" s="257"/>
      <c r="W265" s="257"/>
      <c r="X265" s="257"/>
      <c r="Y265" s="257"/>
      <c r="Z265" s="257"/>
    </row>
    <row r="266" ht="14.25" customHeight="1" spans="1:26" x14ac:dyDescent="0.25">
      <c r="A266" s="257"/>
      <c r="B266" s="308"/>
      <c r="C266" s="308"/>
      <c r="D266" s="308"/>
      <c r="E266" s="309"/>
      <c r="F266" s="257"/>
      <c r="G266" s="271"/>
      <c r="H266" s="257"/>
      <c r="I266" s="257"/>
      <c r="J266" s="257"/>
      <c r="K266" s="257"/>
      <c r="L266" s="257"/>
      <c r="M266" s="257"/>
      <c r="N266" s="257"/>
      <c r="O266" s="257"/>
      <c r="P266" s="257"/>
      <c r="Q266" s="257"/>
      <c r="R266" s="257"/>
      <c r="S266" s="257"/>
      <c r="T266" s="257"/>
      <c r="U266" s="257"/>
      <c r="V266" s="257"/>
      <c r="W266" s="257"/>
      <c r="X266" s="257"/>
      <c r="Y266" s="257"/>
      <c r="Z266" s="257"/>
    </row>
    <row r="267" ht="14.25" customHeight="1" spans="1:26" x14ac:dyDescent="0.25">
      <c r="A267" s="257"/>
      <c r="B267" s="308"/>
      <c r="C267" s="308"/>
      <c r="D267" s="308"/>
      <c r="E267" s="309"/>
      <c r="F267" s="257"/>
      <c r="G267" s="271"/>
      <c r="H267" s="257"/>
      <c r="I267" s="257"/>
      <c r="J267" s="257"/>
      <c r="K267" s="257"/>
      <c r="L267" s="257"/>
      <c r="M267" s="257"/>
      <c r="N267" s="257"/>
      <c r="O267" s="257"/>
      <c r="P267" s="257"/>
      <c r="Q267" s="257"/>
      <c r="R267" s="257"/>
      <c r="S267" s="257"/>
      <c r="T267" s="257"/>
      <c r="U267" s="257"/>
      <c r="V267" s="257"/>
      <c r="W267" s="257"/>
      <c r="X267" s="257"/>
      <c r="Y267" s="257"/>
      <c r="Z267" s="257"/>
    </row>
    <row r="268" ht="14.25" customHeight="1" spans="1:26" x14ac:dyDescent="0.25">
      <c r="A268" s="257"/>
      <c r="B268" s="308"/>
      <c r="C268" s="308"/>
      <c r="D268" s="308"/>
      <c r="E268" s="309"/>
      <c r="F268" s="257"/>
      <c r="G268" s="271"/>
      <c r="H268" s="257"/>
      <c r="I268" s="257"/>
      <c r="J268" s="257"/>
      <c r="K268" s="257"/>
      <c r="L268" s="257"/>
      <c r="M268" s="257"/>
      <c r="N268" s="257"/>
      <c r="O268" s="257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</row>
    <row r="269" ht="14.25" customHeight="1" spans="1:26" x14ac:dyDescent="0.25">
      <c r="A269" s="257"/>
      <c r="B269" s="308"/>
      <c r="C269" s="308"/>
      <c r="D269" s="308"/>
      <c r="E269" s="309"/>
      <c r="F269" s="257"/>
      <c r="G269" s="271"/>
      <c r="H269" s="257"/>
      <c r="I269" s="257"/>
      <c r="J269" s="257"/>
      <c r="K269" s="257"/>
      <c r="L269" s="257"/>
      <c r="M269" s="257"/>
      <c r="N269" s="257"/>
      <c r="O269" s="257"/>
      <c r="P269" s="257"/>
      <c r="Q269" s="257"/>
      <c r="R269" s="257"/>
      <c r="S269" s="257"/>
      <c r="T269" s="257"/>
      <c r="U269" s="257"/>
      <c r="V269" s="257"/>
      <c r="W269" s="257"/>
      <c r="X269" s="257"/>
      <c r="Y269" s="257"/>
      <c r="Z269" s="257"/>
    </row>
    <row r="270" ht="14.25" customHeight="1" spans="1:26" x14ac:dyDescent="0.25">
      <c r="A270" s="257"/>
      <c r="B270" s="308"/>
      <c r="C270" s="308"/>
      <c r="D270" s="308"/>
      <c r="E270" s="309"/>
      <c r="F270" s="257"/>
      <c r="G270" s="271"/>
      <c r="H270" s="257"/>
      <c r="I270" s="257"/>
      <c r="J270" s="257"/>
      <c r="K270" s="257"/>
      <c r="L270" s="257"/>
      <c r="M270" s="257"/>
      <c r="N270" s="257"/>
      <c r="O270" s="257"/>
      <c r="P270" s="257"/>
      <c r="Q270" s="257"/>
      <c r="R270" s="257"/>
      <c r="S270" s="257"/>
      <c r="T270" s="257"/>
      <c r="U270" s="257"/>
      <c r="V270" s="257"/>
      <c r="W270" s="257"/>
      <c r="X270" s="257"/>
      <c r="Y270" s="257"/>
      <c r="Z270" s="257"/>
    </row>
    <row r="271" ht="14.25" customHeight="1" spans="1:26" x14ac:dyDescent="0.25">
      <c r="A271" s="257"/>
      <c r="B271" s="308"/>
      <c r="C271" s="308"/>
      <c r="D271" s="308"/>
      <c r="E271" s="309"/>
      <c r="F271" s="257"/>
      <c r="G271" s="271"/>
      <c r="H271" s="257"/>
      <c r="I271" s="257"/>
      <c r="J271" s="257"/>
      <c r="K271" s="257"/>
      <c r="L271" s="257"/>
      <c r="M271" s="257"/>
      <c r="N271" s="257"/>
      <c r="O271" s="257"/>
      <c r="P271" s="257"/>
      <c r="Q271" s="257"/>
      <c r="R271" s="257"/>
      <c r="S271" s="257"/>
      <c r="T271" s="257"/>
      <c r="U271" s="257"/>
      <c r="V271" s="257"/>
      <c r="W271" s="257"/>
      <c r="X271" s="257"/>
      <c r="Y271" s="257"/>
      <c r="Z271" s="257"/>
    </row>
    <row r="272" ht="14.25" customHeight="1" spans="1:26" x14ac:dyDescent="0.25">
      <c r="A272" s="257"/>
      <c r="B272" s="308"/>
      <c r="C272" s="308"/>
      <c r="D272" s="308"/>
      <c r="E272" s="309"/>
      <c r="F272" s="257"/>
      <c r="G272" s="271"/>
      <c r="H272" s="257"/>
      <c r="I272" s="257"/>
      <c r="J272" s="257"/>
      <c r="K272" s="257"/>
      <c r="L272" s="257"/>
      <c r="M272" s="257"/>
      <c r="N272" s="257"/>
      <c r="O272" s="257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</row>
    <row r="273" ht="14.25" customHeight="1" spans="1:26" x14ac:dyDescent="0.25">
      <c r="A273" s="257"/>
      <c r="B273" s="308"/>
      <c r="C273" s="308"/>
      <c r="D273" s="308"/>
      <c r="E273" s="309"/>
      <c r="F273" s="257"/>
      <c r="G273" s="271"/>
      <c r="H273" s="257"/>
      <c r="I273" s="257"/>
      <c r="J273" s="257"/>
      <c r="K273" s="257"/>
      <c r="L273" s="257"/>
      <c r="M273" s="257"/>
      <c r="N273" s="257"/>
      <c r="O273" s="257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</row>
    <row r="274" ht="14.25" customHeight="1" spans="1:26" x14ac:dyDescent="0.25">
      <c r="A274" s="257"/>
      <c r="B274" s="308"/>
      <c r="C274" s="308"/>
      <c r="D274" s="308"/>
      <c r="E274" s="309"/>
      <c r="F274" s="257"/>
      <c r="G274" s="271"/>
      <c r="H274" s="257"/>
      <c r="I274" s="257"/>
      <c r="J274" s="257"/>
      <c r="K274" s="257"/>
      <c r="L274" s="257"/>
      <c r="M274" s="257"/>
      <c r="N274" s="257"/>
      <c r="O274" s="257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</row>
    <row r="275" ht="14.25" customHeight="1" spans="1:26" x14ac:dyDescent="0.25">
      <c r="A275" s="257"/>
      <c r="B275" s="308"/>
      <c r="C275" s="308"/>
      <c r="D275" s="308"/>
      <c r="E275" s="309"/>
      <c r="F275" s="257"/>
      <c r="G275" s="271"/>
      <c r="H275" s="257"/>
      <c r="I275" s="257"/>
      <c r="J275" s="257"/>
      <c r="K275" s="257"/>
      <c r="L275" s="257"/>
      <c r="M275" s="257"/>
      <c r="N275" s="257"/>
      <c r="O275" s="257"/>
      <c r="P275" s="257"/>
      <c r="Q275" s="257"/>
      <c r="R275" s="257"/>
      <c r="S275" s="257"/>
      <c r="T275" s="257"/>
      <c r="U275" s="257"/>
      <c r="V275" s="257"/>
      <c r="W275" s="257"/>
      <c r="X275" s="257"/>
      <c r="Y275" s="257"/>
      <c r="Z275" s="257"/>
    </row>
    <row r="276" ht="14.25" customHeight="1" spans="1:26" x14ac:dyDescent="0.25">
      <c r="A276" s="257"/>
      <c r="B276" s="308"/>
      <c r="C276" s="308"/>
      <c r="D276" s="308"/>
      <c r="E276" s="309"/>
      <c r="F276" s="257"/>
      <c r="G276" s="271"/>
      <c r="H276" s="257"/>
      <c r="I276" s="257"/>
      <c r="J276" s="257"/>
      <c r="K276" s="257"/>
      <c r="L276" s="257"/>
      <c r="M276" s="257"/>
      <c r="N276" s="257"/>
      <c r="O276" s="257"/>
      <c r="P276" s="257"/>
      <c r="Q276" s="257"/>
      <c r="R276" s="257"/>
      <c r="S276" s="257"/>
      <c r="T276" s="257"/>
      <c r="U276" s="257"/>
      <c r="V276" s="257"/>
      <c r="W276" s="257"/>
      <c r="X276" s="257"/>
      <c r="Y276" s="257"/>
      <c r="Z276" s="257"/>
    </row>
    <row r="277" ht="14.25" customHeight="1" spans="1:26" x14ac:dyDescent="0.25">
      <c r="A277" s="257"/>
      <c r="B277" s="308"/>
      <c r="C277" s="308"/>
      <c r="D277" s="308"/>
      <c r="E277" s="309"/>
      <c r="F277" s="257"/>
      <c r="G277" s="271"/>
      <c r="H277" s="257"/>
      <c r="I277" s="257"/>
      <c r="J277" s="257"/>
      <c r="K277" s="257"/>
      <c r="L277" s="257"/>
      <c r="M277" s="257"/>
      <c r="N277" s="257"/>
      <c r="O277" s="257"/>
      <c r="P277" s="257"/>
      <c r="Q277" s="257"/>
      <c r="R277" s="257"/>
      <c r="S277" s="257"/>
      <c r="T277" s="257"/>
      <c r="U277" s="257"/>
      <c r="V277" s="257"/>
      <c r="W277" s="257"/>
      <c r="X277" s="257"/>
      <c r="Y277" s="257"/>
      <c r="Z277" s="257"/>
    </row>
    <row r="278" ht="14.25" customHeight="1" spans="1:26" x14ac:dyDescent="0.25">
      <c r="A278" s="257"/>
      <c r="B278" s="308"/>
      <c r="C278" s="308"/>
      <c r="D278" s="308"/>
      <c r="E278" s="309"/>
      <c r="F278" s="257"/>
      <c r="G278" s="271"/>
      <c r="H278" s="257"/>
      <c r="I278" s="257"/>
      <c r="J278" s="257"/>
      <c r="K278" s="257"/>
      <c r="L278" s="257"/>
      <c r="M278" s="257"/>
      <c r="N278" s="257"/>
      <c r="O278" s="257"/>
      <c r="P278" s="257"/>
      <c r="Q278" s="257"/>
      <c r="R278" s="257"/>
      <c r="S278" s="257"/>
      <c r="T278" s="257"/>
      <c r="U278" s="257"/>
      <c r="V278" s="257"/>
      <c r="W278" s="257"/>
      <c r="X278" s="257"/>
      <c r="Y278" s="257"/>
      <c r="Z278" s="257"/>
    </row>
    <row r="279" ht="14.25" customHeight="1" spans="1:26" x14ac:dyDescent="0.25">
      <c r="A279" s="257"/>
      <c r="B279" s="308"/>
      <c r="C279" s="308"/>
      <c r="D279" s="308"/>
      <c r="E279" s="309"/>
      <c r="F279" s="257"/>
      <c r="G279" s="271"/>
      <c r="H279" s="257"/>
      <c r="I279" s="257"/>
      <c r="J279" s="257"/>
      <c r="K279" s="257"/>
      <c r="L279" s="257"/>
      <c r="M279" s="257"/>
      <c r="N279" s="257"/>
      <c r="O279" s="257"/>
      <c r="P279" s="257"/>
      <c r="Q279" s="257"/>
      <c r="R279" s="257"/>
      <c r="S279" s="257"/>
      <c r="T279" s="257"/>
      <c r="U279" s="257"/>
      <c r="V279" s="257"/>
      <c r="W279" s="257"/>
      <c r="X279" s="257"/>
      <c r="Y279" s="257"/>
      <c r="Z279" s="257"/>
    </row>
    <row r="280" ht="14.25" customHeight="1" spans="1:26" x14ac:dyDescent="0.25">
      <c r="A280" s="257"/>
      <c r="B280" s="308"/>
      <c r="C280" s="308"/>
      <c r="D280" s="308"/>
      <c r="E280" s="309"/>
      <c r="F280" s="257"/>
      <c r="G280" s="271"/>
      <c r="H280" s="257"/>
      <c r="I280" s="257"/>
      <c r="J280" s="257"/>
      <c r="K280" s="257"/>
      <c r="L280" s="257"/>
      <c r="M280" s="257"/>
      <c r="N280" s="257"/>
      <c r="O280" s="257"/>
      <c r="P280" s="257"/>
      <c r="Q280" s="257"/>
      <c r="R280" s="257"/>
      <c r="S280" s="257"/>
      <c r="T280" s="257"/>
      <c r="U280" s="257"/>
      <c r="V280" s="257"/>
      <c r="W280" s="257"/>
      <c r="X280" s="257"/>
      <c r="Y280" s="257"/>
      <c r="Z280" s="257"/>
    </row>
    <row r="281" ht="14.25" customHeight="1" spans="1:26" x14ac:dyDescent="0.25">
      <c r="A281" s="257"/>
      <c r="B281" s="308"/>
      <c r="C281" s="308"/>
      <c r="D281" s="308"/>
      <c r="E281" s="309"/>
      <c r="F281" s="257"/>
      <c r="G281" s="271"/>
      <c r="H281" s="257"/>
      <c r="I281" s="257"/>
      <c r="J281" s="257"/>
      <c r="K281" s="257"/>
      <c r="L281" s="257"/>
      <c r="M281" s="257"/>
      <c r="N281" s="257"/>
      <c r="O281" s="257"/>
      <c r="P281" s="257"/>
      <c r="Q281" s="257"/>
      <c r="R281" s="257"/>
      <c r="S281" s="257"/>
      <c r="T281" s="257"/>
      <c r="U281" s="257"/>
      <c r="V281" s="257"/>
      <c r="W281" s="257"/>
      <c r="X281" s="257"/>
      <c r="Y281" s="257"/>
      <c r="Z281" s="257"/>
    </row>
    <row r="282" ht="14.25" customHeight="1" spans="1:26" x14ac:dyDescent="0.25">
      <c r="A282" s="257"/>
      <c r="B282" s="308"/>
      <c r="C282" s="308"/>
      <c r="D282" s="308"/>
      <c r="E282" s="309"/>
      <c r="F282" s="257"/>
      <c r="G282" s="271"/>
      <c r="H282" s="257"/>
      <c r="I282" s="257"/>
      <c r="J282" s="257"/>
      <c r="K282" s="257"/>
      <c r="L282" s="257"/>
      <c r="M282" s="257"/>
      <c r="N282" s="257"/>
      <c r="O282" s="257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</row>
    <row r="283" ht="14.25" customHeight="1" spans="1:26" x14ac:dyDescent="0.25">
      <c r="A283" s="257"/>
      <c r="B283" s="308"/>
      <c r="C283" s="308"/>
      <c r="D283" s="308"/>
      <c r="E283" s="309"/>
      <c r="F283" s="257"/>
      <c r="G283" s="271"/>
      <c r="H283" s="257"/>
      <c r="I283" s="257"/>
      <c r="J283" s="257"/>
      <c r="K283" s="257"/>
      <c r="L283" s="257"/>
      <c r="M283" s="257"/>
      <c r="N283" s="257"/>
      <c r="O283" s="257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</row>
    <row r="284" ht="14.25" customHeight="1" spans="1:26" x14ac:dyDescent="0.25">
      <c r="A284" s="257"/>
      <c r="B284" s="308"/>
      <c r="C284" s="308"/>
      <c r="D284" s="308"/>
      <c r="E284" s="309"/>
      <c r="F284" s="257"/>
      <c r="G284" s="271"/>
      <c r="H284" s="257"/>
      <c r="I284" s="257"/>
      <c r="J284" s="257"/>
      <c r="K284" s="257"/>
      <c r="L284" s="257"/>
      <c r="M284" s="257"/>
      <c r="N284" s="257"/>
      <c r="O284" s="257"/>
      <c r="P284" s="257"/>
      <c r="Q284" s="257"/>
      <c r="R284" s="257"/>
      <c r="S284" s="257"/>
      <c r="T284" s="257"/>
      <c r="U284" s="257"/>
      <c r="V284" s="257"/>
      <c r="W284" s="257"/>
      <c r="X284" s="257"/>
      <c r="Y284" s="257"/>
      <c r="Z284" s="257"/>
    </row>
    <row r="285" ht="14.25" customHeight="1" spans="1:26" x14ac:dyDescent="0.25">
      <c r="A285" s="257"/>
      <c r="B285" s="308"/>
      <c r="C285" s="308"/>
      <c r="D285" s="308"/>
      <c r="E285" s="309"/>
      <c r="F285" s="257"/>
      <c r="G285" s="271"/>
      <c r="H285" s="257"/>
      <c r="I285" s="257"/>
      <c r="J285" s="257"/>
      <c r="K285" s="257"/>
      <c r="L285" s="257"/>
      <c r="M285" s="257"/>
      <c r="N285" s="257"/>
      <c r="O285" s="257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</row>
    <row r="286" ht="14.25" customHeight="1" spans="1:26" x14ac:dyDescent="0.25">
      <c r="A286" s="257"/>
      <c r="B286" s="308"/>
      <c r="C286" s="308"/>
      <c r="D286" s="308"/>
      <c r="E286" s="309"/>
      <c r="F286" s="257"/>
      <c r="G286" s="271"/>
      <c r="H286" s="257"/>
      <c r="I286" s="257"/>
      <c r="J286" s="257"/>
      <c r="K286" s="257"/>
      <c r="L286" s="257"/>
      <c r="M286" s="257"/>
      <c r="N286" s="257"/>
      <c r="O286" s="257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</row>
    <row r="287" ht="14.25" customHeight="1" spans="1:26" x14ac:dyDescent="0.25">
      <c r="A287" s="257"/>
      <c r="B287" s="308"/>
      <c r="C287" s="308"/>
      <c r="D287" s="308"/>
      <c r="E287" s="309"/>
      <c r="F287" s="257"/>
      <c r="G287" s="271"/>
      <c r="H287" s="257"/>
      <c r="I287" s="257"/>
      <c r="J287" s="257"/>
      <c r="K287" s="257"/>
      <c r="L287" s="257"/>
      <c r="M287" s="257"/>
      <c r="N287" s="257"/>
      <c r="O287" s="257"/>
      <c r="P287" s="257"/>
      <c r="Q287" s="257"/>
      <c r="R287" s="257"/>
      <c r="S287" s="257"/>
      <c r="T287" s="257"/>
      <c r="U287" s="257"/>
      <c r="V287" s="257"/>
      <c r="W287" s="257"/>
      <c r="X287" s="257"/>
      <c r="Y287" s="257"/>
      <c r="Z287" s="257"/>
    </row>
    <row r="288" ht="14.25" customHeight="1" spans="1:26" x14ac:dyDescent="0.25">
      <c r="A288" s="257"/>
      <c r="B288" s="308"/>
      <c r="C288" s="308"/>
      <c r="D288" s="308"/>
      <c r="E288" s="309"/>
      <c r="F288" s="257"/>
      <c r="G288" s="271"/>
      <c r="H288" s="257"/>
      <c r="I288" s="257"/>
      <c r="J288" s="257"/>
      <c r="K288" s="257"/>
      <c r="L288" s="257"/>
      <c r="M288" s="257"/>
      <c r="N288" s="257"/>
      <c r="O288" s="257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</row>
    <row r="289" ht="14.25" customHeight="1" spans="1:26" x14ac:dyDescent="0.25">
      <c r="A289" s="257"/>
      <c r="B289" s="308"/>
      <c r="C289" s="308"/>
      <c r="D289" s="308"/>
      <c r="E289" s="309"/>
      <c r="F289" s="257"/>
      <c r="G289" s="271"/>
      <c r="H289" s="257"/>
      <c r="I289" s="257"/>
      <c r="J289" s="257"/>
      <c r="K289" s="257"/>
      <c r="L289" s="257"/>
      <c r="M289" s="257"/>
      <c r="N289" s="257"/>
      <c r="O289" s="257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</row>
    <row r="290" ht="14.25" customHeight="1" spans="1:26" x14ac:dyDescent="0.25">
      <c r="A290" s="257"/>
      <c r="B290" s="308"/>
      <c r="C290" s="308"/>
      <c r="D290" s="308"/>
      <c r="E290" s="309"/>
      <c r="F290" s="257"/>
      <c r="G290" s="271"/>
      <c r="H290" s="257"/>
      <c r="I290" s="257"/>
      <c r="J290" s="257"/>
      <c r="K290" s="257"/>
      <c r="L290" s="257"/>
      <c r="M290" s="257"/>
      <c r="N290" s="257"/>
      <c r="O290" s="257"/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</row>
    <row r="291" ht="14.25" customHeight="1" spans="1:26" x14ac:dyDescent="0.25">
      <c r="A291" s="257"/>
      <c r="B291" s="308"/>
      <c r="C291" s="308"/>
      <c r="D291" s="308"/>
      <c r="E291" s="309"/>
      <c r="F291" s="257"/>
      <c r="G291" s="271"/>
      <c r="H291" s="257"/>
      <c r="I291" s="257"/>
      <c r="J291" s="257"/>
      <c r="K291" s="257"/>
      <c r="L291" s="257"/>
      <c r="M291" s="257"/>
      <c r="N291" s="257"/>
      <c r="O291" s="257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</row>
    <row r="292" ht="14.25" customHeight="1" spans="1:26" x14ac:dyDescent="0.25">
      <c r="A292" s="257"/>
      <c r="B292" s="308"/>
      <c r="C292" s="308"/>
      <c r="D292" s="308"/>
      <c r="E292" s="309"/>
      <c r="F292" s="257"/>
      <c r="G292" s="271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</row>
    <row r="293" ht="14.25" customHeight="1" spans="1:26" x14ac:dyDescent="0.25">
      <c r="A293" s="257"/>
      <c r="B293" s="308"/>
      <c r="C293" s="308"/>
      <c r="D293" s="308"/>
      <c r="E293" s="309"/>
      <c r="F293" s="257"/>
      <c r="G293" s="271"/>
      <c r="H293" s="257"/>
      <c r="I293" s="257"/>
      <c r="J293" s="257"/>
      <c r="K293" s="257"/>
      <c r="L293" s="257"/>
      <c r="M293" s="257"/>
      <c r="N293" s="257"/>
      <c r="O293" s="257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</row>
    <row r="294" ht="14.25" customHeight="1" spans="1:26" x14ac:dyDescent="0.25">
      <c r="A294" s="257"/>
      <c r="B294" s="308"/>
      <c r="C294" s="308"/>
      <c r="D294" s="308"/>
      <c r="E294" s="309"/>
      <c r="F294" s="257"/>
      <c r="G294" s="271"/>
      <c r="H294" s="257"/>
      <c r="I294" s="257"/>
      <c r="J294" s="257"/>
      <c r="K294" s="257"/>
      <c r="L294" s="257"/>
      <c r="M294" s="257"/>
      <c r="N294" s="257"/>
      <c r="O294" s="257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</row>
    <row r="295" ht="14.25" customHeight="1" spans="1:26" x14ac:dyDescent="0.25">
      <c r="A295" s="257"/>
      <c r="B295" s="308"/>
      <c r="C295" s="308"/>
      <c r="D295" s="308"/>
      <c r="E295" s="309"/>
      <c r="F295" s="257"/>
      <c r="G295" s="271"/>
      <c r="H295" s="257"/>
      <c r="I295" s="257"/>
      <c r="J295" s="257"/>
      <c r="K295" s="257"/>
      <c r="L295" s="257"/>
      <c r="M295" s="257"/>
      <c r="N295" s="257"/>
      <c r="O295" s="257"/>
      <c r="P295" s="257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</row>
    <row r="296" ht="14.25" customHeight="1" spans="1:26" x14ac:dyDescent="0.25">
      <c r="A296" s="257"/>
      <c r="B296" s="308"/>
      <c r="C296" s="308"/>
      <c r="D296" s="308"/>
      <c r="E296" s="309"/>
      <c r="F296" s="257"/>
      <c r="G296" s="271"/>
      <c r="H296" s="257"/>
      <c r="I296" s="257"/>
      <c r="J296" s="257"/>
      <c r="K296" s="257"/>
      <c r="L296" s="257"/>
      <c r="M296" s="257"/>
      <c r="N296" s="257"/>
      <c r="O296" s="257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</row>
    <row r="297" ht="14.25" customHeight="1" spans="1:26" x14ac:dyDescent="0.25">
      <c r="A297" s="257"/>
      <c r="B297" s="308"/>
      <c r="C297" s="308"/>
      <c r="D297" s="308"/>
      <c r="E297" s="309"/>
      <c r="F297" s="257"/>
      <c r="G297" s="271"/>
      <c r="H297" s="257"/>
      <c r="I297" s="257"/>
      <c r="J297" s="257"/>
      <c r="K297" s="257"/>
      <c r="L297" s="257"/>
      <c r="M297" s="257"/>
      <c r="N297" s="257"/>
      <c r="O297" s="257"/>
      <c r="P297" s="257"/>
      <c r="Q297" s="257"/>
      <c r="R297" s="257"/>
      <c r="S297" s="257"/>
      <c r="T297" s="257"/>
      <c r="U297" s="257"/>
      <c r="V297" s="257"/>
      <c r="W297" s="257"/>
      <c r="X297" s="257"/>
      <c r="Y297" s="257"/>
      <c r="Z297" s="257"/>
    </row>
    <row r="298" ht="14.25" customHeight="1" spans="1:26" x14ac:dyDescent="0.25">
      <c r="A298" s="257"/>
      <c r="B298" s="308"/>
      <c r="C298" s="308"/>
      <c r="D298" s="308"/>
      <c r="E298" s="309"/>
      <c r="F298" s="257"/>
      <c r="G298" s="271"/>
      <c r="H298" s="257"/>
      <c r="I298" s="257"/>
      <c r="J298" s="257"/>
      <c r="K298" s="257"/>
      <c r="L298" s="257"/>
      <c r="M298" s="257"/>
      <c r="N298" s="257"/>
      <c r="O298" s="257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</row>
    <row r="299" ht="14.25" customHeight="1" spans="1:26" x14ac:dyDescent="0.25">
      <c r="A299" s="257"/>
      <c r="B299" s="308"/>
      <c r="C299" s="308"/>
      <c r="D299" s="308"/>
      <c r="E299" s="309"/>
      <c r="F299" s="257"/>
      <c r="G299" s="271"/>
      <c r="H299" s="257"/>
      <c r="I299" s="257"/>
      <c r="J299" s="257"/>
      <c r="K299" s="257"/>
      <c r="L299" s="257"/>
      <c r="M299" s="257"/>
      <c r="N299" s="257"/>
      <c r="O299" s="257"/>
      <c r="P299" s="257"/>
      <c r="Q299" s="257"/>
      <c r="R299" s="257"/>
      <c r="S299" s="257"/>
      <c r="T299" s="257"/>
      <c r="U299" s="257"/>
      <c r="V299" s="257"/>
      <c r="W299" s="257"/>
      <c r="X299" s="257"/>
      <c r="Y299" s="257"/>
      <c r="Z299" s="257"/>
    </row>
    <row r="300" ht="14.25" customHeight="1" spans="1:26" x14ac:dyDescent="0.25">
      <c r="A300" s="257"/>
      <c r="B300" s="308"/>
      <c r="C300" s="308"/>
      <c r="D300" s="308"/>
      <c r="E300" s="309"/>
      <c r="F300" s="257"/>
      <c r="G300" s="271"/>
      <c r="H300" s="257"/>
      <c r="I300" s="257"/>
      <c r="J300" s="257"/>
      <c r="K300" s="257"/>
      <c r="L300" s="257"/>
      <c r="M300" s="257"/>
      <c r="N300" s="257"/>
      <c r="O300" s="257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</row>
    <row r="301" ht="14.25" customHeight="1" spans="1:26" x14ac:dyDescent="0.25">
      <c r="A301" s="257"/>
      <c r="B301" s="308"/>
      <c r="C301" s="308"/>
      <c r="D301" s="308"/>
      <c r="E301" s="309"/>
      <c r="F301" s="257"/>
      <c r="G301" s="271"/>
      <c r="H301" s="257"/>
      <c r="I301" s="257"/>
      <c r="J301" s="257"/>
      <c r="K301" s="257"/>
      <c r="L301" s="257"/>
      <c r="M301" s="257"/>
      <c r="N301" s="257"/>
      <c r="O301" s="257"/>
      <c r="P301" s="257"/>
      <c r="Q301" s="257"/>
      <c r="R301" s="257"/>
      <c r="S301" s="257"/>
      <c r="T301" s="257"/>
      <c r="U301" s="257"/>
      <c r="V301" s="257"/>
      <c r="W301" s="257"/>
      <c r="X301" s="257"/>
      <c r="Y301" s="257"/>
      <c r="Z301" s="257"/>
    </row>
    <row r="302" ht="14.25" customHeight="1" spans="1:26" x14ac:dyDescent="0.25">
      <c r="A302" s="257"/>
      <c r="B302" s="308"/>
      <c r="C302" s="308"/>
      <c r="D302" s="308"/>
      <c r="E302" s="309"/>
      <c r="F302" s="257"/>
      <c r="G302" s="271"/>
      <c r="H302" s="257"/>
      <c r="I302" s="257"/>
      <c r="J302" s="257"/>
      <c r="K302" s="257"/>
      <c r="L302" s="257"/>
      <c r="M302" s="257"/>
      <c r="N302" s="257"/>
      <c r="O302" s="257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</row>
    <row r="303" ht="14.25" customHeight="1" spans="1:26" x14ac:dyDescent="0.25">
      <c r="A303" s="257"/>
      <c r="B303" s="308"/>
      <c r="C303" s="308"/>
      <c r="D303" s="308"/>
      <c r="E303" s="309"/>
      <c r="F303" s="257"/>
      <c r="G303" s="271"/>
      <c r="H303" s="257"/>
      <c r="I303" s="257"/>
      <c r="J303" s="257"/>
      <c r="K303" s="257"/>
      <c r="L303" s="257"/>
      <c r="M303" s="257"/>
      <c r="N303" s="257"/>
      <c r="O303" s="257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</row>
    <row r="304" ht="14.25" customHeight="1" spans="1:26" x14ac:dyDescent="0.25">
      <c r="A304" s="257"/>
      <c r="B304" s="308"/>
      <c r="C304" s="308"/>
      <c r="D304" s="308"/>
      <c r="E304" s="309"/>
      <c r="F304" s="257"/>
      <c r="G304" s="271"/>
      <c r="H304" s="257"/>
      <c r="I304" s="257"/>
      <c r="J304" s="257"/>
      <c r="K304" s="257"/>
      <c r="L304" s="257"/>
      <c r="M304" s="257"/>
      <c r="N304" s="257"/>
      <c r="O304" s="257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</row>
    <row r="305" ht="14.25" customHeight="1" spans="1:26" x14ac:dyDescent="0.25">
      <c r="A305" s="257"/>
      <c r="B305" s="308"/>
      <c r="C305" s="308"/>
      <c r="D305" s="308"/>
      <c r="E305" s="309"/>
      <c r="F305" s="257"/>
      <c r="G305" s="271"/>
      <c r="H305" s="257"/>
      <c r="I305" s="257"/>
      <c r="J305" s="257"/>
      <c r="K305" s="257"/>
      <c r="L305" s="257"/>
      <c r="M305" s="257"/>
      <c r="N305" s="257"/>
      <c r="O305" s="257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</row>
    <row r="306" ht="14.25" customHeight="1" spans="1:26" x14ac:dyDescent="0.25">
      <c r="A306" s="257"/>
      <c r="B306" s="308"/>
      <c r="C306" s="308"/>
      <c r="D306" s="308"/>
      <c r="E306" s="309"/>
      <c r="F306" s="257"/>
      <c r="G306" s="271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</row>
    <row r="307" ht="14.25" customHeight="1" spans="1:26" x14ac:dyDescent="0.25">
      <c r="A307" s="257"/>
      <c r="B307" s="308"/>
      <c r="C307" s="308"/>
      <c r="D307" s="308"/>
      <c r="E307" s="309"/>
      <c r="F307" s="257"/>
      <c r="G307" s="271"/>
      <c r="H307" s="257"/>
      <c r="I307" s="257"/>
      <c r="J307" s="257"/>
      <c r="K307" s="257"/>
      <c r="L307" s="257"/>
      <c r="M307" s="257"/>
      <c r="N307" s="257"/>
      <c r="O307" s="257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</row>
    <row r="308" ht="14.25" customHeight="1" spans="1:26" x14ac:dyDescent="0.25">
      <c r="A308" s="257"/>
      <c r="B308" s="308"/>
      <c r="C308" s="308"/>
      <c r="D308" s="308"/>
      <c r="E308" s="309"/>
      <c r="F308" s="257"/>
      <c r="G308" s="271"/>
      <c r="H308" s="257"/>
      <c r="I308" s="257"/>
      <c r="J308" s="257"/>
      <c r="K308" s="257"/>
      <c r="L308" s="257"/>
      <c r="M308" s="257"/>
      <c r="N308" s="257"/>
      <c r="O308" s="257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</row>
    <row r="309" ht="14.25" customHeight="1" spans="1:26" x14ac:dyDescent="0.25">
      <c r="A309" s="257"/>
      <c r="B309" s="308"/>
      <c r="C309" s="308"/>
      <c r="D309" s="308"/>
      <c r="E309" s="309"/>
      <c r="F309" s="257"/>
      <c r="G309" s="271"/>
      <c r="H309" s="257"/>
      <c r="I309" s="257"/>
      <c r="J309" s="257"/>
      <c r="K309" s="257"/>
      <c r="L309" s="257"/>
      <c r="M309" s="257"/>
      <c r="N309" s="257"/>
      <c r="O309" s="257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</row>
    <row r="310" ht="14.25" customHeight="1" spans="1:26" x14ac:dyDescent="0.25">
      <c r="A310" s="257"/>
      <c r="B310" s="308"/>
      <c r="C310" s="308"/>
      <c r="D310" s="308"/>
      <c r="E310" s="309"/>
      <c r="F310" s="257"/>
      <c r="G310" s="271"/>
      <c r="H310" s="257"/>
      <c r="I310" s="257"/>
      <c r="J310" s="257"/>
      <c r="K310" s="257"/>
      <c r="L310" s="257"/>
      <c r="M310" s="257"/>
      <c r="N310" s="257"/>
      <c r="O310" s="257"/>
      <c r="P310" s="257"/>
      <c r="Q310" s="257"/>
      <c r="R310" s="257"/>
      <c r="S310" s="257"/>
      <c r="T310" s="257"/>
      <c r="U310" s="257"/>
      <c r="V310" s="257"/>
      <c r="W310" s="257"/>
      <c r="X310" s="257"/>
      <c r="Y310" s="257"/>
      <c r="Z310" s="257"/>
    </row>
    <row r="311" ht="14.25" customHeight="1" spans="1:26" x14ac:dyDescent="0.25">
      <c r="A311" s="257"/>
      <c r="B311" s="308"/>
      <c r="C311" s="308"/>
      <c r="D311" s="308"/>
      <c r="E311" s="309"/>
      <c r="F311" s="257"/>
      <c r="G311" s="271"/>
      <c r="H311" s="257"/>
      <c r="I311" s="257"/>
      <c r="J311" s="257"/>
      <c r="K311" s="257"/>
      <c r="L311" s="257"/>
      <c r="M311" s="257"/>
      <c r="N311" s="257"/>
      <c r="O311" s="257"/>
      <c r="P311" s="257"/>
      <c r="Q311" s="257"/>
      <c r="R311" s="257"/>
      <c r="S311" s="257"/>
      <c r="T311" s="257"/>
      <c r="U311" s="257"/>
      <c r="V311" s="257"/>
      <c r="W311" s="257"/>
      <c r="X311" s="257"/>
      <c r="Y311" s="257"/>
      <c r="Z311" s="257"/>
    </row>
    <row r="312" ht="14.25" customHeight="1" spans="1:26" x14ac:dyDescent="0.25">
      <c r="A312" s="257"/>
      <c r="B312" s="308"/>
      <c r="C312" s="308"/>
      <c r="D312" s="308"/>
      <c r="E312" s="309"/>
      <c r="F312" s="257"/>
      <c r="G312" s="271"/>
      <c r="H312" s="257"/>
      <c r="I312" s="257"/>
      <c r="J312" s="257"/>
      <c r="K312" s="257"/>
      <c r="L312" s="257"/>
      <c r="M312" s="257"/>
      <c r="N312" s="257"/>
      <c r="O312" s="257"/>
      <c r="P312" s="257"/>
      <c r="Q312" s="257"/>
      <c r="R312" s="257"/>
      <c r="S312" s="257"/>
      <c r="T312" s="257"/>
      <c r="U312" s="257"/>
      <c r="V312" s="257"/>
      <c r="W312" s="257"/>
      <c r="X312" s="257"/>
      <c r="Y312" s="257"/>
      <c r="Z312" s="257"/>
    </row>
    <row r="313" ht="14.25" customHeight="1" spans="1:26" x14ac:dyDescent="0.25">
      <c r="A313" s="257"/>
      <c r="B313" s="308"/>
      <c r="C313" s="308"/>
      <c r="D313" s="308"/>
      <c r="E313" s="309"/>
      <c r="F313" s="257"/>
      <c r="G313" s="271"/>
      <c r="H313" s="257"/>
      <c r="I313" s="257"/>
      <c r="J313" s="257"/>
      <c r="K313" s="257"/>
      <c r="L313" s="257"/>
      <c r="M313" s="257"/>
      <c r="N313" s="257"/>
      <c r="O313" s="257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</row>
    <row r="314" ht="14.25" customHeight="1" spans="1:26" x14ac:dyDescent="0.25">
      <c r="A314" s="257"/>
      <c r="B314" s="308"/>
      <c r="C314" s="308"/>
      <c r="D314" s="308"/>
      <c r="E314" s="309"/>
      <c r="F314" s="257"/>
      <c r="G314" s="271"/>
      <c r="H314" s="257"/>
      <c r="I314" s="257"/>
      <c r="J314" s="257"/>
      <c r="K314" s="257"/>
      <c r="L314" s="257"/>
      <c r="M314" s="257"/>
      <c r="N314" s="257"/>
      <c r="O314" s="257"/>
      <c r="P314" s="257"/>
      <c r="Q314" s="257"/>
      <c r="R314" s="257"/>
      <c r="S314" s="257"/>
      <c r="T314" s="257"/>
      <c r="U314" s="257"/>
      <c r="V314" s="257"/>
      <c r="W314" s="257"/>
      <c r="X314" s="257"/>
      <c r="Y314" s="257"/>
      <c r="Z314" s="257"/>
    </row>
    <row r="315" ht="14.25" customHeight="1" spans="1:26" x14ac:dyDescent="0.25">
      <c r="A315" s="257"/>
      <c r="B315" s="308"/>
      <c r="C315" s="308"/>
      <c r="D315" s="308"/>
      <c r="E315" s="309"/>
      <c r="F315" s="257"/>
      <c r="G315" s="271"/>
      <c r="H315" s="257"/>
      <c r="I315" s="257"/>
      <c r="J315" s="257"/>
      <c r="K315" s="257"/>
      <c r="L315" s="257"/>
      <c r="M315" s="257"/>
      <c r="N315" s="257"/>
      <c r="O315" s="257"/>
      <c r="P315" s="257"/>
      <c r="Q315" s="257"/>
      <c r="R315" s="257"/>
      <c r="S315" s="257"/>
      <c r="T315" s="257"/>
      <c r="U315" s="257"/>
      <c r="V315" s="257"/>
      <c r="W315" s="257"/>
      <c r="X315" s="257"/>
      <c r="Y315" s="257"/>
      <c r="Z315" s="257"/>
    </row>
    <row r="316" ht="14.25" customHeight="1" spans="1:26" x14ac:dyDescent="0.25">
      <c r="A316" s="257"/>
      <c r="B316" s="308"/>
      <c r="C316" s="308"/>
      <c r="D316" s="308"/>
      <c r="E316" s="309"/>
      <c r="F316" s="257"/>
      <c r="G316" s="271"/>
      <c r="H316" s="257"/>
      <c r="I316" s="257"/>
      <c r="J316" s="257"/>
      <c r="K316" s="257"/>
      <c r="L316" s="257"/>
      <c r="M316" s="257"/>
      <c r="N316" s="257"/>
      <c r="O316" s="257"/>
      <c r="P316" s="257"/>
      <c r="Q316" s="257"/>
      <c r="R316" s="257"/>
      <c r="S316" s="257"/>
      <c r="T316" s="257"/>
      <c r="U316" s="257"/>
      <c r="V316" s="257"/>
      <c r="W316" s="257"/>
      <c r="X316" s="257"/>
      <c r="Y316" s="257"/>
      <c r="Z316" s="257"/>
    </row>
    <row r="317" ht="14.25" customHeight="1" spans="1:26" x14ac:dyDescent="0.25">
      <c r="A317" s="257"/>
      <c r="B317" s="308"/>
      <c r="C317" s="308"/>
      <c r="D317" s="308"/>
      <c r="E317" s="309"/>
      <c r="F317" s="257"/>
      <c r="G317" s="271"/>
      <c r="H317" s="257"/>
      <c r="I317" s="257"/>
      <c r="J317" s="257"/>
      <c r="K317" s="257"/>
      <c r="L317" s="257"/>
      <c r="M317" s="257"/>
      <c r="N317" s="257"/>
      <c r="O317" s="257"/>
      <c r="P317" s="257"/>
      <c r="Q317" s="257"/>
      <c r="R317" s="257"/>
      <c r="S317" s="257"/>
      <c r="T317" s="257"/>
      <c r="U317" s="257"/>
      <c r="V317" s="257"/>
      <c r="W317" s="257"/>
      <c r="X317" s="257"/>
      <c r="Y317" s="257"/>
      <c r="Z317" s="257"/>
    </row>
    <row r="318" ht="14.25" customHeight="1" spans="1:26" x14ac:dyDescent="0.25">
      <c r="A318" s="257"/>
      <c r="B318" s="308"/>
      <c r="C318" s="308"/>
      <c r="D318" s="308"/>
      <c r="E318" s="309"/>
      <c r="F318" s="257"/>
      <c r="G318" s="271"/>
      <c r="H318" s="257"/>
      <c r="I318" s="257"/>
      <c r="J318" s="257"/>
      <c r="K318" s="257"/>
      <c r="L318" s="257"/>
      <c r="M318" s="257"/>
      <c r="N318" s="257"/>
      <c r="O318" s="257"/>
      <c r="P318" s="257"/>
      <c r="Q318" s="257"/>
      <c r="R318" s="257"/>
      <c r="S318" s="257"/>
      <c r="T318" s="257"/>
      <c r="U318" s="257"/>
      <c r="V318" s="257"/>
      <c r="W318" s="257"/>
      <c r="X318" s="257"/>
      <c r="Y318" s="257"/>
      <c r="Z318" s="257"/>
    </row>
    <row r="319" ht="14.25" customHeight="1" spans="1:26" x14ac:dyDescent="0.25">
      <c r="A319" s="257"/>
      <c r="B319" s="308"/>
      <c r="C319" s="308"/>
      <c r="D319" s="308"/>
      <c r="E319" s="309"/>
      <c r="F319" s="257"/>
      <c r="G319" s="271"/>
      <c r="H319" s="257"/>
      <c r="I319" s="257"/>
      <c r="J319" s="257"/>
      <c r="K319" s="257"/>
      <c r="L319" s="257"/>
      <c r="M319" s="257"/>
      <c r="N319" s="257"/>
      <c r="O319" s="257"/>
      <c r="P319" s="257"/>
      <c r="Q319" s="257"/>
      <c r="R319" s="257"/>
      <c r="S319" s="257"/>
      <c r="T319" s="257"/>
      <c r="U319" s="257"/>
      <c r="V319" s="257"/>
      <c r="W319" s="257"/>
      <c r="X319" s="257"/>
      <c r="Y319" s="257"/>
      <c r="Z319" s="257"/>
    </row>
    <row r="320" ht="14.25" customHeight="1" spans="1:26" x14ac:dyDescent="0.25">
      <c r="A320" s="257"/>
      <c r="B320" s="308"/>
      <c r="C320" s="308"/>
      <c r="D320" s="308"/>
      <c r="E320" s="309"/>
      <c r="F320" s="257"/>
      <c r="G320" s="271"/>
      <c r="H320" s="257"/>
      <c r="I320" s="257"/>
      <c r="J320" s="257"/>
      <c r="K320" s="257"/>
      <c r="L320" s="257"/>
      <c r="M320" s="257"/>
      <c r="N320" s="257"/>
      <c r="O320" s="257"/>
      <c r="P320" s="257"/>
      <c r="Q320" s="257"/>
      <c r="R320" s="257"/>
      <c r="S320" s="257"/>
      <c r="T320" s="257"/>
      <c r="U320" s="257"/>
      <c r="V320" s="257"/>
      <c r="W320" s="257"/>
      <c r="X320" s="257"/>
      <c r="Y320" s="257"/>
      <c r="Z320" s="257"/>
    </row>
    <row r="321" ht="14.25" customHeight="1" spans="1:26" x14ac:dyDescent="0.25">
      <c r="A321" s="257"/>
      <c r="B321" s="308"/>
      <c r="C321" s="308"/>
      <c r="D321" s="308"/>
      <c r="E321" s="309"/>
      <c r="F321" s="257"/>
      <c r="G321" s="271"/>
      <c r="H321" s="257"/>
      <c r="I321" s="257"/>
      <c r="J321" s="257"/>
      <c r="K321" s="257"/>
      <c r="L321" s="257"/>
      <c r="M321" s="257"/>
      <c r="N321" s="257"/>
      <c r="O321" s="257"/>
      <c r="P321" s="257"/>
      <c r="Q321" s="257"/>
      <c r="R321" s="257"/>
      <c r="S321" s="257"/>
      <c r="T321" s="257"/>
      <c r="U321" s="257"/>
      <c r="V321" s="257"/>
      <c r="W321" s="257"/>
      <c r="X321" s="257"/>
      <c r="Y321" s="257"/>
      <c r="Z321" s="257"/>
    </row>
    <row r="322" ht="14.25" customHeight="1" spans="1:26" x14ac:dyDescent="0.25">
      <c r="A322" s="257"/>
      <c r="B322" s="308"/>
      <c r="C322" s="308"/>
      <c r="D322" s="308"/>
      <c r="E322" s="309"/>
      <c r="F322" s="257"/>
      <c r="G322" s="271"/>
      <c r="H322" s="257"/>
      <c r="I322" s="257"/>
      <c r="J322" s="257"/>
      <c r="K322" s="257"/>
      <c r="L322" s="257"/>
      <c r="M322" s="257"/>
      <c r="N322" s="257"/>
      <c r="O322" s="257"/>
      <c r="P322" s="257"/>
      <c r="Q322" s="257"/>
      <c r="R322" s="257"/>
      <c r="S322" s="257"/>
      <c r="T322" s="257"/>
      <c r="U322" s="257"/>
      <c r="V322" s="257"/>
      <c r="W322" s="257"/>
      <c r="X322" s="257"/>
      <c r="Y322" s="257"/>
      <c r="Z322" s="257"/>
    </row>
    <row r="323" ht="14.25" customHeight="1" spans="1:26" x14ac:dyDescent="0.25">
      <c r="A323" s="257"/>
      <c r="B323" s="308"/>
      <c r="C323" s="308"/>
      <c r="D323" s="308"/>
      <c r="E323" s="309"/>
      <c r="F323" s="257"/>
      <c r="G323" s="271"/>
      <c r="H323" s="257"/>
      <c r="I323" s="257"/>
      <c r="J323" s="257"/>
      <c r="K323" s="257"/>
      <c r="L323" s="257"/>
      <c r="M323" s="257"/>
      <c r="N323" s="257"/>
      <c r="O323" s="257"/>
      <c r="P323" s="257"/>
      <c r="Q323" s="257"/>
      <c r="R323" s="257"/>
      <c r="S323" s="257"/>
      <c r="T323" s="257"/>
      <c r="U323" s="257"/>
      <c r="V323" s="257"/>
      <c r="W323" s="257"/>
      <c r="X323" s="257"/>
      <c r="Y323" s="257"/>
      <c r="Z323" s="257"/>
    </row>
    <row r="324" ht="14.25" customHeight="1" spans="1:26" x14ac:dyDescent="0.25">
      <c r="A324" s="257"/>
      <c r="B324" s="308"/>
      <c r="C324" s="308"/>
      <c r="D324" s="308"/>
      <c r="E324" s="309"/>
      <c r="F324" s="257"/>
      <c r="G324" s="271"/>
      <c r="H324" s="257"/>
      <c r="I324" s="257"/>
      <c r="J324" s="257"/>
      <c r="K324" s="257"/>
      <c r="L324" s="257"/>
      <c r="M324" s="257"/>
      <c r="N324" s="257"/>
      <c r="O324" s="257"/>
      <c r="P324" s="257"/>
      <c r="Q324" s="257"/>
      <c r="R324" s="257"/>
      <c r="S324" s="257"/>
      <c r="T324" s="257"/>
      <c r="U324" s="257"/>
      <c r="V324" s="257"/>
      <c r="W324" s="257"/>
      <c r="X324" s="257"/>
      <c r="Y324" s="257"/>
      <c r="Z324" s="257"/>
    </row>
    <row r="325" ht="14.25" customHeight="1" spans="1:26" x14ac:dyDescent="0.25">
      <c r="A325" s="257"/>
      <c r="B325" s="308"/>
      <c r="C325" s="308"/>
      <c r="D325" s="308"/>
      <c r="E325" s="309"/>
      <c r="F325" s="257"/>
      <c r="G325" s="271"/>
      <c r="H325" s="257"/>
      <c r="I325" s="257"/>
      <c r="J325" s="257"/>
      <c r="K325" s="257"/>
      <c r="L325" s="257"/>
      <c r="M325" s="257"/>
      <c r="N325" s="257"/>
      <c r="O325" s="257"/>
      <c r="P325" s="257"/>
      <c r="Q325" s="257"/>
      <c r="R325" s="257"/>
      <c r="S325" s="257"/>
      <c r="T325" s="257"/>
      <c r="U325" s="257"/>
      <c r="V325" s="257"/>
      <c r="W325" s="257"/>
      <c r="X325" s="257"/>
      <c r="Y325" s="257"/>
      <c r="Z325" s="257"/>
    </row>
    <row r="326" ht="14.25" customHeight="1" spans="1:26" x14ac:dyDescent="0.25">
      <c r="A326" s="257"/>
      <c r="B326" s="308"/>
      <c r="C326" s="308"/>
      <c r="D326" s="308"/>
      <c r="E326" s="309"/>
      <c r="F326" s="257"/>
      <c r="G326" s="271"/>
      <c r="H326" s="257"/>
      <c r="I326" s="257"/>
      <c r="J326" s="257"/>
      <c r="K326" s="257"/>
      <c r="L326" s="257"/>
      <c r="M326" s="257"/>
      <c r="N326" s="257"/>
      <c r="O326" s="257"/>
      <c r="P326" s="257"/>
      <c r="Q326" s="257"/>
      <c r="R326" s="257"/>
      <c r="S326" s="257"/>
      <c r="T326" s="257"/>
      <c r="U326" s="257"/>
      <c r="V326" s="257"/>
      <c r="W326" s="257"/>
      <c r="X326" s="257"/>
      <c r="Y326" s="257"/>
      <c r="Z326" s="257"/>
    </row>
    <row r="327" ht="14.25" customHeight="1" spans="1:26" x14ac:dyDescent="0.25">
      <c r="A327" s="257"/>
      <c r="B327" s="308"/>
      <c r="C327" s="308"/>
      <c r="D327" s="308"/>
      <c r="E327" s="309"/>
      <c r="F327" s="257"/>
      <c r="G327" s="271"/>
      <c r="H327" s="257"/>
      <c r="I327" s="257"/>
      <c r="J327" s="257"/>
      <c r="K327" s="257"/>
      <c r="L327" s="257"/>
      <c r="M327" s="257"/>
      <c r="N327" s="257"/>
      <c r="O327" s="257"/>
      <c r="P327" s="257"/>
      <c r="Q327" s="257"/>
      <c r="R327" s="257"/>
      <c r="S327" s="257"/>
      <c r="T327" s="257"/>
      <c r="U327" s="257"/>
      <c r="V327" s="257"/>
      <c r="W327" s="257"/>
      <c r="X327" s="257"/>
      <c r="Y327" s="257"/>
      <c r="Z327" s="257"/>
    </row>
    <row r="328" ht="14.25" customHeight="1" spans="1:26" x14ac:dyDescent="0.25">
      <c r="A328" s="257"/>
      <c r="B328" s="308"/>
      <c r="C328" s="308"/>
      <c r="D328" s="308"/>
      <c r="E328" s="309"/>
      <c r="F328" s="257"/>
      <c r="G328" s="271"/>
      <c r="H328" s="257"/>
      <c r="I328" s="257"/>
      <c r="J328" s="257"/>
      <c r="K328" s="257"/>
      <c r="L328" s="257"/>
      <c r="M328" s="257"/>
      <c r="N328" s="257"/>
      <c r="O328" s="257"/>
      <c r="P328" s="257"/>
      <c r="Q328" s="257"/>
      <c r="R328" s="257"/>
      <c r="S328" s="257"/>
      <c r="T328" s="257"/>
      <c r="U328" s="257"/>
      <c r="V328" s="257"/>
      <c r="W328" s="257"/>
      <c r="X328" s="257"/>
      <c r="Y328" s="257"/>
      <c r="Z328" s="257"/>
    </row>
    <row r="329" ht="14.25" customHeight="1" spans="1:26" x14ac:dyDescent="0.25">
      <c r="A329" s="257"/>
      <c r="B329" s="308"/>
      <c r="C329" s="308"/>
      <c r="D329" s="308"/>
      <c r="E329" s="309"/>
      <c r="F329" s="257"/>
      <c r="G329" s="271"/>
      <c r="H329" s="257"/>
      <c r="I329" s="257"/>
      <c r="J329" s="257"/>
      <c r="K329" s="257"/>
      <c r="L329" s="257"/>
      <c r="M329" s="257"/>
      <c r="N329" s="257"/>
      <c r="O329" s="257"/>
      <c r="P329" s="257"/>
      <c r="Q329" s="257"/>
      <c r="R329" s="257"/>
      <c r="S329" s="257"/>
      <c r="T329" s="257"/>
      <c r="U329" s="257"/>
      <c r="V329" s="257"/>
      <c r="W329" s="257"/>
      <c r="X329" s="257"/>
      <c r="Y329" s="257"/>
      <c r="Z329" s="257"/>
    </row>
    <row r="330" ht="14.25" customHeight="1" spans="1:26" x14ac:dyDescent="0.25">
      <c r="A330" s="257"/>
      <c r="B330" s="308"/>
      <c r="C330" s="308"/>
      <c r="D330" s="308"/>
      <c r="E330" s="309"/>
      <c r="F330" s="257"/>
      <c r="G330" s="271"/>
      <c r="H330" s="257"/>
      <c r="I330" s="257"/>
      <c r="J330" s="257"/>
      <c r="K330" s="257"/>
      <c r="L330" s="257"/>
      <c r="M330" s="257"/>
      <c r="N330" s="257"/>
      <c r="O330" s="257"/>
      <c r="P330" s="257"/>
      <c r="Q330" s="257"/>
      <c r="R330" s="257"/>
      <c r="S330" s="257"/>
      <c r="T330" s="257"/>
      <c r="U330" s="257"/>
      <c r="V330" s="257"/>
      <c r="W330" s="257"/>
      <c r="X330" s="257"/>
      <c r="Y330" s="257"/>
      <c r="Z330" s="257"/>
    </row>
    <row r="331" ht="14.25" customHeight="1" spans="1:26" x14ac:dyDescent="0.25">
      <c r="A331" s="257"/>
      <c r="B331" s="308"/>
      <c r="C331" s="308"/>
      <c r="D331" s="308"/>
      <c r="E331" s="309"/>
      <c r="F331" s="257"/>
      <c r="G331" s="271"/>
      <c r="H331" s="257"/>
      <c r="I331" s="257"/>
      <c r="J331" s="257"/>
      <c r="K331" s="257"/>
      <c r="L331" s="257"/>
      <c r="M331" s="257"/>
      <c r="N331" s="257"/>
      <c r="O331" s="257"/>
      <c r="P331" s="257"/>
      <c r="Q331" s="257"/>
      <c r="R331" s="257"/>
      <c r="S331" s="257"/>
      <c r="T331" s="257"/>
      <c r="U331" s="257"/>
      <c r="V331" s="257"/>
      <c r="W331" s="257"/>
      <c r="X331" s="257"/>
      <c r="Y331" s="257"/>
      <c r="Z331" s="257"/>
    </row>
    <row r="332" ht="14.25" customHeight="1" spans="1:26" x14ac:dyDescent="0.25">
      <c r="A332" s="257"/>
      <c r="B332" s="308"/>
      <c r="C332" s="308"/>
      <c r="D332" s="308"/>
      <c r="E332" s="309"/>
      <c r="F332" s="257"/>
      <c r="G332" s="271"/>
      <c r="H332" s="257"/>
      <c r="I332" s="257"/>
      <c r="J332" s="257"/>
      <c r="K332" s="257"/>
      <c r="L332" s="257"/>
      <c r="M332" s="257"/>
      <c r="N332" s="257"/>
      <c r="O332" s="257"/>
      <c r="P332" s="257"/>
      <c r="Q332" s="257"/>
      <c r="R332" s="257"/>
      <c r="S332" s="257"/>
      <c r="T332" s="257"/>
      <c r="U332" s="257"/>
      <c r="V332" s="257"/>
      <c r="W332" s="257"/>
      <c r="X332" s="257"/>
      <c r="Y332" s="257"/>
      <c r="Z332" s="257"/>
    </row>
    <row r="333" ht="14.25" customHeight="1" spans="1:26" x14ac:dyDescent="0.25">
      <c r="A333" s="257"/>
      <c r="B333" s="308"/>
      <c r="C333" s="308"/>
      <c r="D333" s="308"/>
      <c r="E333" s="309"/>
      <c r="F333" s="257"/>
      <c r="G333" s="271"/>
      <c r="H333" s="257"/>
      <c r="I333" s="257"/>
      <c r="J333" s="257"/>
      <c r="K333" s="257"/>
      <c r="L333" s="257"/>
      <c r="M333" s="257"/>
      <c r="N333" s="257"/>
      <c r="O333" s="257"/>
      <c r="P333" s="257"/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</row>
    <row r="334" ht="14.25" customHeight="1" spans="1:26" x14ac:dyDescent="0.25">
      <c r="A334" s="257"/>
      <c r="B334" s="308"/>
      <c r="C334" s="308"/>
      <c r="D334" s="308"/>
      <c r="E334" s="309"/>
      <c r="F334" s="257"/>
      <c r="G334" s="271"/>
      <c r="H334" s="257"/>
      <c r="I334" s="257"/>
      <c r="J334" s="257"/>
      <c r="K334" s="257"/>
      <c r="L334" s="257"/>
      <c r="M334" s="257"/>
      <c r="N334" s="257"/>
      <c r="O334" s="257"/>
      <c r="P334" s="257"/>
      <c r="Q334" s="257"/>
      <c r="R334" s="257"/>
      <c r="S334" s="257"/>
      <c r="T334" s="257"/>
      <c r="U334" s="257"/>
      <c r="V334" s="257"/>
      <c r="W334" s="257"/>
      <c r="X334" s="257"/>
      <c r="Y334" s="257"/>
      <c r="Z334" s="257"/>
    </row>
    <row r="335" ht="14.25" customHeight="1" spans="1:26" x14ac:dyDescent="0.25">
      <c r="A335" s="257"/>
      <c r="B335" s="308"/>
      <c r="C335" s="308"/>
      <c r="D335" s="308"/>
      <c r="E335" s="309"/>
      <c r="F335" s="257"/>
      <c r="G335" s="271"/>
      <c r="H335" s="257"/>
      <c r="I335" s="257"/>
      <c r="J335" s="257"/>
      <c r="K335" s="257"/>
      <c r="L335" s="257"/>
      <c r="M335" s="257"/>
      <c r="N335" s="257"/>
      <c r="O335" s="257"/>
      <c r="P335" s="257"/>
      <c r="Q335" s="257"/>
      <c r="R335" s="257"/>
      <c r="S335" s="257"/>
      <c r="T335" s="257"/>
      <c r="U335" s="257"/>
      <c r="V335" s="257"/>
      <c r="W335" s="257"/>
      <c r="X335" s="257"/>
      <c r="Y335" s="257"/>
      <c r="Z335" s="257"/>
    </row>
    <row r="336" ht="14.25" customHeight="1" spans="1:26" x14ac:dyDescent="0.25">
      <c r="A336" s="257"/>
      <c r="B336" s="308"/>
      <c r="C336" s="308"/>
      <c r="D336" s="308"/>
      <c r="E336" s="309"/>
      <c r="F336" s="257"/>
      <c r="G336" s="271"/>
      <c r="H336" s="257"/>
      <c r="I336" s="257"/>
      <c r="J336" s="257"/>
      <c r="K336" s="257"/>
      <c r="L336" s="257"/>
      <c r="M336" s="257"/>
      <c r="N336" s="257"/>
      <c r="O336" s="257"/>
      <c r="P336" s="257"/>
      <c r="Q336" s="257"/>
      <c r="R336" s="257"/>
      <c r="S336" s="257"/>
      <c r="T336" s="257"/>
      <c r="U336" s="257"/>
      <c r="V336" s="257"/>
      <c r="W336" s="257"/>
      <c r="X336" s="257"/>
      <c r="Y336" s="257"/>
      <c r="Z336" s="257"/>
    </row>
    <row r="337" ht="14.25" customHeight="1" spans="1:26" x14ac:dyDescent="0.25">
      <c r="A337" s="257"/>
      <c r="B337" s="308"/>
      <c r="C337" s="308"/>
      <c r="D337" s="308"/>
      <c r="E337" s="309"/>
      <c r="F337" s="257"/>
      <c r="G337" s="271"/>
      <c r="H337" s="257"/>
      <c r="I337" s="257"/>
      <c r="J337" s="257"/>
      <c r="K337" s="257"/>
      <c r="L337" s="257"/>
      <c r="M337" s="257"/>
      <c r="N337" s="257"/>
      <c r="O337" s="257"/>
      <c r="P337" s="257"/>
      <c r="Q337" s="257"/>
      <c r="R337" s="257"/>
      <c r="S337" s="257"/>
      <c r="T337" s="257"/>
      <c r="U337" s="257"/>
      <c r="V337" s="257"/>
      <c r="W337" s="257"/>
      <c r="X337" s="257"/>
      <c r="Y337" s="257"/>
      <c r="Z337" s="257"/>
    </row>
    <row r="338" ht="14.25" customHeight="1" spans="1:26" x14ac:dyDescent="0.25">
      <c r="A338" s="257"/>
      <c r="B338" s="308"/>
      <c r="C338" s="308"/>
      <c r="D338" s="308"/>
      <c r="E338" s="309"/>
      <c r="F338" s="257"/>
      <c r="G338" s="271"/>
      <c r="H338" s="257"/>
      <c r="I338" s="257"/>
      <c r="J338" s="257"/>
      <c r="K338" s="257"/>
      <c r="L338" s="257"/>
      <c r="M338" s="257"/>
      <c r="N338" s="257"/>
      <c r="O338" s="257"/>
      <c r="P338" s="257"/>
      <c r="Q338" s="257"/>
      <c r="R338" s="257"/>
      <c r="S338" s="257"/>
      <c r="T338" s="257"/>
      <c r="U338" s="257"/>
      <c r="V338" s="257"/>
      <c r="W338" s="257"/>
      <c r="X338" s="257"/>
      <c r="Y338" s="257"/>
      <c r="Z338" s="257"/>
    </row>
    <row r="339" ht="14.25" customHeight="1" spans="1:26" x14ac:dyDescent="0.25">
      <c r="A339" s="257"/>
      <c r="B339" s="308"/>
      <c r="C339" s="308"/>
      <c r="D339" s="308"/>
      <c r="E339" s="309"/>
      <c r="F339" s="257"/>
      <c r="G339" s="271"/>
      <c r="H339" s="257"/>
      <c r="I339" s="257"/>
      <c r="J339" s="257"/>
      <c r="K339" s="257"/>
      <c r="L339" s="257"/>
      <c r="M339" s="257"/>
      <c r="N339" s="257"/>
      <c r="O339" s="257"/>
      <c r="P339" s="257"/>
      <c r="Q339" s="257"/>
      <c r="R339" s="257"/>
      <c r="S339" s="257"/>
      <c r="T339" s="257"/>
      <c r="U339" s="257"/>
      <c r="V339" s="257"/>
      <c r="W339" s="257"/>
      <c r="X339" s="257"/>
      <c r="Y339" s="257"/>
      <c r="Z339" s="257"/>
    </row>
    <row r="340" ht="14.25" customHeight="1" spans="1:26" x14ac:dyDescent="0.25">
      <c r="A340" s="257"/>
      <c r="B340" s="308"/>
      <c r="C340" s="308"/>
      <c r="D340" s="308"/>
      <c r="E340" s="309"/>
      <c r="F340" s="257"/>
      <c r="G340" s="271"/>
      <c r="H340" s="257"/>
      <c r="I340" s="257"/>
      <c r="J340" s="257"/>
      <c r="K340" s="257"/>
      <c r="L340" s="257"/>
      <c r="M340" s="257"/>
      <c r="N340" s="257"/>
      <c r="O340" s="257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</row>
    <row r="341" ht="14.25" customHeight="1" spans="1:26" x14ac:dyDescent="0.25">
      <c r="A341" s="257"/>
      <c r="B341" s="308"/>
      <c r="C341" s="308"/>
      <c r="D341" s="308"/>
      <c r="E341" s="309"/>
      <c r="F341" s="257"/>
      <c r="G341" s="271"/>
      <c r="H341" s="257"/>
      <c r="I341" s="257"/>
      <c r="J341" s="257"/>
      <c r="K341" s="257"/>
      <c r="L341" s="257"/>
      <c r="M341" s="257"/>
      <c r="N341" s="257"/>
      <c r="O341" s="257"/>
      <c r="P341" s="257"/>
      <c r="Q341" s="257"/>
      <c r="R341" s="257"/>
      <c r="S341" s="257"/>
      <c r="T341" s="257"/>
      <c r="U341" s="257"/>
      <c r="V341" s="257"/>
      <c r="W341" s="257"/>
      <c r="X341" s="257"/>
      <c r="Y341" s="257"/>
      <c r="Z341" s="257"/>
    </row>
    <row r="342" ht="14.25" customHeight="1" spans="1:26" x14ac:dyDescent="0.25">
      <c r="A342" s="257"/>
      <c r="B342" s="308"/>
      <c r="C342" s="308"/>
      <c r="D342" s="308"/>
      <c r="E342" s="309"/>
      <c r="F342" s="257"/>
      <c r="G342" s="271"/>
      <c r="H342" s="257"/>
      <c r="I342" s="257"/>
      <c r="J342" s="257"/>
      <c r="K342" s="257"/>
      <c r="L342" s="257"/>
      <c r="M342" s="257"/>
      <c r="N342" s="257"/>
      <c r="O342" s="257"/>
      <c r="P342" s="257"/>
      <c r="Q342" s="257"/>
      <c r="R342" s="257"/>
      <c r="S342" s="257"/>
      <c r="T342" s="257"/>
      <c r="U342" s="257"/>
      <c r="V342" s="257"/>
      <c r="W342" s="257"/>
      <c r="X342" s="257"/>
      <c r="Y342" s="257"/>
      <c r="Z342" s="257"/>
    </row>
    <row r="343" ht="14.25" customHeight="1" spans="1:26" x14ac:dyDescent="0.25">
      <c r="A343" s="257"/>
      <c r="B343" s="308"/>
      <c r="C343" s="308"/>
      <c r="D343" s="308"/>
      <c r="E343" s="309"/>
      <c r="F343" s="257"/>
      <c r="G343" s="271"/>
      <c r="H343" s="257"/>
      <c r="I343" s="257"/>
      <c r="J343" s="257"/>
      <c r="K343" s="257"/>
      <c r="L343" s="257"/>
      <c r="M343" s="257"/>
      <c r="N343" s="257"/>
      <c r="O343" s="257"/>
      <c r="P343" s="257"/>
      <c r="Q343" s="257"/>
      <c r="R343" s="257"/>
      <c r="S343" s="257"/>
      <c r="T343" s="257"/>
      <c r="U343" s="257"/>
      <c r="V343" s="257"/>
      <c r="W343" s="257"/>
      <c r="X343" s="257"/>
      <c r="Y343" s="257"/>
      <c r="Z343" s="257"/>
    </row>
    <row r="344" ht="14.25" customHeight="1" spans="1:26" x14ac:dyDescent="0.25">
      <c r="A344" s="257"/>
      <c r="B344" s="308"/>
      <c r="C344" s="308"/>
      <c r="D344" s="308"/>
      <c r="E344" s="309"/>
      <c r="F344" s="257"/>
      <c r="G344" s="271"/>
      <c r="H344" s="257"/>
      <c r="I344" s="257"/>
      <c r="J344" s="257"/>
      <c r="K344" s="257"/>
      <c r="L344" s="257"/>
      <c r="M344" s="257"/>
      <c r="N344" s="257"/>
      <c r="O344" s="257"/>
      <c r="P344" s="257"/>
      <c r="Q344" s="257"/>
      <c r="R344" s="257"/>
      <c r="S344" s="257"/>
      <c r="T344" s="257"/>
      <c r="U344" s="257"/>
      <c r="V344" s="257"/>
      <c r="W344" s="257"/>
      <c r="X344" s="257"/>
      <c r="Y344" s="257"/>
      <c r="Z344" s="257"/>
    </row>
    <row r="345" ht="14.25" customHeight="1" spans="1:26" x14ac:dyDescent="0.25">
      <c r="A345" s="257"/>
      <c r="B345" s="308"/>
      <c r="C345" s="308"/>
      <c r="D345" s="308"/>
      <c r="E345" s="309"/>
      <c r="F345" s="257"/>
      <c r="G345" s="271"/>
      <c r="H345" s="257"/>
      <c r="I345" s="257"/>
      <c r="J345" s="257"/>
      <c r="K345" s="257"/>
      <c r="L345" s="257"/>
      <c r="M345" s="257"/>
      <c r="N345" s="257"/>
      <c r="O345" s="257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</row>
    <row r="346" ht="14.25" customHeight="1" spans="1:26" x14ac:dyDescent="0.25">
      <c r="A346" s="257"/>
      <c r="B346" s="308"/>
      <c r="C346" s="308"/>
      <c r="D346" s="308"/>
      <c r="E346" s="309"/>
      <c r="F346" s="257"/>
      <c r="G346" s="271"/>
      <c r="H346" s="257"/>
      <c r="I346" s="257"/>
      <c r="J346" s="257"/>
      <c r="K346" s="257"/>
      <c r="L346" s="257"/>
      <c r="M346" s="257"/>
      <c r="N346" s="257"/>
      <c r="O346" s="257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</row>
    <row r="347" ht="14.25" customHeight="1" spans="1:26" x14ac:dyDescent="0.25">
      <c r="A347" s="257"/>
      <c r="B347" s="308"/>
      <c r="C347" s="308"/>
      <c r="D347" s="308"/>
      <c r="E347" s="309"/>
      <c r="F347" s="257"/>
      <c r="G347" s="271"/>
      <c r="H347" s="257"/>
      <c r="I347" s="257"/>
      <c r="J347" s="257"/>
      <c r="K347" s="257"/>
      <c r="L347" s="257"/>
      <c r="M347" s="257"/>
      <c r="N347" s="257"/>
      <c r="O347" s="257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</row>
    <row r="348" ht="14.25" customHeight="1" spans="1:26" x14ac:dyDescent="0.25">
      <c r="A348" s="257"/>
      <c r="B348" s="308"/>
      <c r="C348" s="308"/>
      <c r="D348" s="308"/>
      <c r="E348" s="309"/>
      <c r="F348" s="257"/>
      <c r="G348" s="271"/>
      <c r="H348" s="257"/>
      <c r="I348" s="257"/>
      <c r="J348" s="257"/>
      <c r="K348" s="257"/>
      <c r="L348" s="257"/>
      <c r="M348" s="257"/>
      <c r="N348" s="257"/>
      <c r="O348" s="257"/>
      <c r="P348" s="257"/>
      <c r="Q348" s="257"/>
      <c r="R348" s="257"/>
      <c r="S348" s="257"/>
      <c r="T348" s="257"/>
      <c r="U348" s="257"/>
      <c r="V348" s="257"/>
      <c r="W348" s="257"/>
      <c r="X348" s="257"/>
      <c r="Y348" s="257"/>
      <c r="Z348" s="257"/>
    </row>
    <row r="349" ht="14.25" customHeight="1" spans="1:26" x14ac:dyDescent="0.25">
      <c r="A349" s="257"/>
      <c r="B349" s="308"/>
      <c r="C349" s="308"/>
      <c r="D349" s="308"/>
      <c r="E349" s="309"/>
      <c r="F349" s="257"/>
      <c r="G349" s="271"/>
      <c r="H349" s="257"/>
      <c r="I349" s="257"/>
      <c r="J349" s="257"/>
      <c r="K349" s="257"/>
      <c r="L349" s="257"/>
      <c r="M349" s="257"/>
      <c r="N349" s="257"/>
      <c r="O349" s="257"/>
      <c r="P349" s="257"/>
      <c r="Q349" s="257"/>
      <c r="R349" s="257"/>
      <c r="S349" s="257"/>
      <c r="T349" s="257"/>
      <c r="U349" s="257"/>
      <c r="V349" s="257"/>
      <c r="W349" s="257"/>
      <c r="X349" s="257"/>
      <c r="Y349" s="257"/>
      <c r="Z349" s="257"/>
    </row>
    <row r="350" ht="14.25" customHeight="1" spans="1:26" x14ac:dyDescent="0.25">
      <c r="A350" s="257"/>
      <c r="B350" s="308"/>
      <c r="C350" s="308"/>
      <c r="D350" s="308"/>
      <c r="E350" s="309"/>
      <c r="F350" s="257"/>
      <c r="G350" s="271"/>
      <c r="H350" s="257"/>
      <c r="I350" s="257"/>
      <c r="J350" s="257"/>
      <c r="K350" s="257"/>
      <c r="L350" s="257"/>
      <c r="M350" s="257"/>
      <c r="N350" s="257"/>
      <c r="O350" s="257"/>
      <c r="P350" s="257"/>
      <c r="Q350" s="257"/>
      <c r="R350" s="257"/>
      <c r="S350" s="257"/>
      <c r="T350" s="257"/>
      <c r="U350" s="257"/>
      <c r="V350" s="257"/>
      <c r="W350" s="257"/>
      <c r="X350" s="257"/>
      <c r="Y350" s="257"/>
      <c r="Z350" s="257"/>
    </row>
    <row r="351" ht="14.25" customHeight="1" spans="1:26" x14ac:dyDescent="0.25">
      <c r="A351" s="257"/>
      <c r="B351" s="308"/>
      <c r="C351" s="308"/>
      <c r="D351" s="308"/>
      <c r="E351" s="309"/>
      <c r="F351" s="257"/>
      <c r="G351" s="271"/>
      <c r="H351" s="257"/>
      <c r="I351" s="257"/>
      <c r="J351" s="257"/>
      <c r="K351" s="257"/>
      <c r="L351" s="257"/>
      <c r="M351" s="257"/>
      <c r="N351" s="257"/>
      <c r="O351" s="257"/>
      <c r="P351" s="257"/>
      <c r="Q351" s="257"/>
      <c r="R351" s="257"/>
      <c r="S351" s="257"/>
      <c r="T351" s="257"/>
      <c r="U351" s="257"/>
      <c r="V351" s="257"/>
      <c r="W351" s="257"/>
      <c r="X351" s="257"/>
      <c r="Y351" s="257"/>
      <c r="Z351" s="257"/>
    </row>
    <row r="352" ht="14.25" customHeight="1" spans="1:26" x14ac:dyDescent="0.25">
      <c r="A352" s="257"/>
      <c r="B352" s="308"/>
      <c r="C352" s="308"/>
      <c r="D352" s="308"/>
      <c r="E352" s="309"/>
      <c r="F352" s="257"/>
      <c r="G352" s="271"/>
      <c r="H352" s="257"/>
      <c r="I352" s="257"/>
      <c r="J352" s="257"/>
      <c r="K352" s="257"/>
      <c r="L352" s="257"/>
      <c r="M352" s="257"/>
      <c r="N352" s="257"/>
      <c r="O352" s="257"/>
      <c r="P352" s="257"/>
      <c r="Q352" s="257"/>
      <c r="R352" s="257"/>
      <c r="S352" s="257"/>
      <c r="T352" s="257"/>
      <c r="U352" s="257"/>
      <c r="V352" s="257"/>
      <c r="W352" s="257"/>
      <c r="X352" s="257"/>
      <c r="Y352" s="257"/>
      <c r="Z352" s="257"/>
    </row>
    <row r="353" ht="14.25" customHeight="1" spans="1:26" x14ac:dyDescent="0.25">
      <c r="A353" s="257"/>
      <c r="B353" s="308"/>
      <c r="C353" s="308"/>
      <c r="D353" s="308"/>
      <c r="E353" s="309"/>
      <c r="F353" s="257"/>
      <c r="G353" s="271"/>
      <c r="H353" s="257"/>
      <c r="I353" s="257"/>
      <c r="J353" s="257"/>
      <c r="K353" s="257"/>
      <c r="L353" s="257"/>
      <c r="M353" s="257"/>
      <c r="N353" s="257"/>
      <c r="O353" s="257"/>
      <c r="P353" s="257"/>
      <c r="Q353" s="257"/>
      <c r="R353" s="257"/>
      <c r="S353" s="257"/>
      <c r="T353" s="257"/>
      <c r="U353" s="257"/>
      <c r="V353" s="257"/>
      <c r="W353" s="257"/>
      <c r="X353" s="257"/>
      <c r="Y353" s="257"/>
      <c r="Z353" s="257"/>
    </row>
    <row r="354" ht="14.25" customHeight="1" spans="1:26" x14ac:dyDescent="0.25">
      <c r="A354" s="257"/>
      <c r="B354" s="308"/>
      <c r="C354" s="308"/>
      <c r="D354" s="308"/>
      <c r="E354" s="309"/>
      <c r="F354" s="257"/>
      <c r="G354" s="271"/>
      <c r="H354" s="257"/>
      <c r="I354" s="257"/>
      <c r="J354" s="257"/>
      <c r="K354" s="257"/>
      <c r="L354" s="257"/>
      <c r="M354" s="257"/>
      <c r="N354" s="257"/>
      <c r="O354" s="257"/>
      <c r="P354" s="257"/>
      <c r="Q354" s="257"/>
      <c r="R354" s="257"/>
      <c r="S354" s="257"/>
      <c r="T354" s="257"/>
      <c r="U354" s="257"/>
      <c r="V354" s="257"/>
      <c r="W354" s="257"/>
      <c r="X354" s="257"/>
      <c r="Y354" s="257"/>
      <c r="Z354" s="257"/>
    </row>
    <row r="355" ht="14.25" customHeight="1" spans="1:26" x14ac:dyDescent="0.25">
      <c r="A355" s="257"/>
      <c r="B355" s="308"/>
      <c r="C355" s="308"/>
      <c r="D355" s="308"/>
      <c r="E355" s="309"/>
      <c r="F355" s="257"/>
      <c r="G355" s="271"/>
      <c r="H355" s="257"/>
      <c r="I355" s="257"/>
      <c r="J355" s="257"/>
      <c r="K355" s="257"/>
      <c r="L355" s="257"/>
      <c r="M355" s="257"/>
      <c r="N355" s="257"/>
      <c r="O355" s="257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</row>
    <row r="356" ht="14.25" customHeight="1" spans="1:26" x14ac:dyDescent="0.25">
      <c r="A356" s="257"/>
      <c r="B356" s="308"/>
      <c r="C356" s="308"/>
      <c r="D356" s="308"/>
      <c r="E356" s="309"/>
      <c r="F356" s="257"/>
      <c r="G356" s="271"/>
      <c r="H356" s="257"/>
      <c r="I356" s="257"/>
      <c r="J356" s="257"/>
      <c r="K356" s="257"/>
      <c r="L356" s="257"/>
      <c r="M356" s="257"/>
      <c r="N356" s="257"/>
      <c r="O356" s="257"/>
      <c r="P356" s="257"/>
      <c r="Q356" s="257"/>
      <c r="R356" s="257"/>
      <c r="S356" s="257"/>
      <c r="T356" s="257"/>
      <c r="U356" s="257"/>
      <c r="V356" s="257"/>
      <c r="W356" s="257"/>
      <c r="X356" s="257"/>
      <c r="Y356" s="257"/>
      <c r="Z356" s="257"/>
    </row>
    <row r="357" ht="14.25" customHeight="1" spans="1:26" x14ac:dyDescent="0.25">
      <c r="A357" s="257"/>
      <c r="B357" s="308"/>
      <c r="C357" s="308"/>
      <c r="D357" s="308"/>
      <c r="E357" s="309"/>
      <c r="F357" s="257"/>
      <c r="G357" s="271"/>
      <c r="H357" s="257"/>
      <c r="I357" s="257"/>
      <c r="J357" s="257"/>
      <c r="K357" s="257"/>
      <c r="L357" s="257"/>
      <c r="M357" s="257"/>
      <c r="N357" s="257"/>
      <c r="O357" s="257"/>
      <c r="P357" s="257"/>
      <c r="Q357" s="257"/>
      <c r="R357" s="257"/>
      <c r="S357" s="257"/>
      <c r="T357" s="257"/>
      <c r="U357" s="257"/>
      <c r="V357" s="257"/>
      <c r="W357" s="257"/>
      <c r="X357" s="257"/>
      <c r="Y357" s="257"/>
      <c r="Z357" s="257"/>
    </row>
    <row r="358" ht="14.25" customHeight="1" spans="1:26" x14ac:dyDescent="0.25">
      <c r="A358" s="257"/>
      <c r="B358" s="308"/>
      <c r="C358" s="308"/>
      <c r="D358" s="308"/>
      <c r="E358" s="309"/>
      <c r="F358" s="257"/>
      <c r="G358" s="271"/>
      <c r="H358" s="257"/>
      <c r="I358" s="257"/>
      <c r="J358" s="257"/>
      <c r="K358" s="257"/>
      <c r="L358" s="257"/>
      <c r="M358" s="257"/>
      <c r="N358" s="257"/>
      <c r="O358" s="257"/>
      <c r="P358" s="257"/>
      <c r="Q358" s="257"/>
      <c r="R358" s="257"/>
      <c r="S358" s="257"/>
      <c r="T358" s="257"/>
      <c r="U358" s="257"/>
      <c r="V358" s="257"/>
      <c r="W358" s="257"/>
      <c r="X358" s="257"/>
      <c r="Y358" s="257"/>
      <c r="Z358" s="257"/>
    </row>
    <row r="359" ht="14.25" customHeight="1" spans="1:26" x14ac:dyDescent="0.25">
      <c r="A359" s="257"/>
      <c r="B359" s="308"/>
      <c r="C359" s="308"/>
      <c r="D359" s="308"/>
      <c r="E359" s="309"/>
      <c r="F359" s="257"/>
      <c r="G359" s="271"/>
      <c r="H359" s="257"/>
      <c r="I359" s="257"/>
      <c r="J359" s="257"/>
      <c r="K359" s="257"/>
      <c r="L359" s="257"/>
      <c r="M359" s="257"/>
      <c r="N359" s="257"/>
      <c r="O359" s="257"/>
      <c r="P359" s="257"/>
      <c r="Q359" s="257"/>
      <c r="R359" s="257"/>
      <c r="S359" s="257"/>
      <c r="T359" s="257"/>
      <c r="U359" s="257"/>
      <c r="V359" s="257"/>
      <c r="W359" s="257"/>
      <c r="X359" s="257"/>
      <c r="Y359" s="257"/>
      <c r="Z359" s="257"/>
    </row>
    <row r="360" ht="14.25" customHeight="1" spans="1:26" x14ac:dyDescent="0.25">
      <c r="A360" s="257"/>
      <c r="B360" s="308"/>
      <c r="C360" s="308"/>
      <c r="D360" s="308"/>
      <c r="E360" s="309"/>
      <c r="F360" s="257"/>
      <c r="G360" s="271"/>
      <c r="H360" s="257"/>
      <c r="I360" s="257"/>
      <c r="J360" s="257"/>
      <c r="K360" s="257"/>
      <c r="L360" s="257"/>
      <c r="M360" s="257"/>
      <c r="N360" s="257"/>
      <c r="O360" s="257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</row>
    <row r="361" ht="14.25" customHeight="1" spans="1:26" x14ac:dyDescent="0.25">
      <c r="A361" s="257"/>
      <c r="B361" s="308"/>
      <c r="C361" s="308"/>
      <c r="D361" s="308"/>
      <c r="E361" s="309"/>
      <c r="F361" s="257"/>
      <c r="G361" s="271"/>
      <c r="H361" s="257"/>
      <c r="I361" s="257"/>
      <c r="J361" s="257"/>
      <c r="K361" s="257"/>
      <c r="L361" s="257"/>
      <c r="M361" s="257"/>
      <c r="N361" s="257"/>
      <c r="O361" s="257"/>
      <c r="P361" s="257"/>
      <c r="Q361" s="257"/>
      <c r="R361" s="257"/>
      <c r="S361" s="257"/>
      <c r="T361" s="257"/>
      <c r="U361" s="257"/>
      <c r="V361" s="257"/>
      <c r="W361" s="257"/>
      <c r="X361" s="257"/>
      <c r="Y361" s="257"/>
      <c r="Z361" s="257"/>
    </row>
    <row r="362" ht="14.25" customHeight="1" spans="1:26" x14ac:dyDescent="0.25">
      <c r="A362" s="257"/>
      <c r="B362" s="308"/>
      <c r="C362" s="308"/>
      <c r="D362" s="308"/>
      <c r="E362" s="309"/>
      <c r="F362" s="257"/>
      <c r="G362" s="271"/>
      <c r="H362" s="257"/>
      <c r="I362" s="257"/>
      <c r="J362" s="257"/>
      <c r="K362" s="257"/>
      <c r="L362" s="257"/>
      <c r="M362" s="257"/>
      <c r="N362" s="257"/>
      <c r="O362" s="257"/>
      <c r="P362" s="257"/>
      <c r="Q362" s="257"/>
      <c r="R362" s="257"/>
      <c r="S362" s="257"/>
      <c r="T362" s="257"/>
      <c r="U362" s="257"/>
      <c r="V362" s="257"/>
      <c r="W362" s="257"/>
      <c r="X362" s="257"/>
      <c r="Y362" s="257"/>
      <c r="Z362" s="257"/>
    </row>
    <row r="363" ht="14.25" customHeight="1" spans="1:26" x14ac:dyDescent="0.25">
      <c r="A363" s="257"/>
      <c r="B363" s="308"/>
      <c r="C363" s="308"/>
      <c r="D363" s="308"/>
      <c r="E363" s="309"/>
      <c r="F363" s="257"/>
      <c r="G363" s="271"/>
      <c r="H363" s="257"/>
      <c r="I363" s="257"/>
      <c r="J363" s="257"/>
      <c r="K363" s="257"/>
      <c r="L363" s="257"/>
      <c r="M363" s="257"/>
      <c r="N363" s="257"/>
      <c r="O363" s="257"/>
      <c r="P363" s="257"/>
      <c r="Q363" s="257"/>
      <c r="R363" s="257"/>
      <c r="S363" s="257"/>
      <c r="T363" s="257"/>
      <c r="U363" s="257"/>
      <c r="V363" s="257"/>
      <c r="W363" s="257"/>
      <c r="X363" s="257"/>
      <c r="Y363" s="257"/>
      <c r="Z363" s="257"/>
    </row>
    <row r="364" ht="14.25" customHeight="1" spans="1:26" x14ac:dyDescent="0.25">
      <c r="A364" s="257"/>
      <c r="B364" s="308"/>
      <c r="C364" s="308"/>
      <c r="D364" s="308"/>
      <c r="E364" s="309"/>
      <c r="F364" s="257"/>
      <c r="G364" s="271"/>
      <c r="H364" s="257"/>
      <c r="I364" s="257"/>
      <c r="J364" s="257"/>
      <c r="K364" s="257"/>
      <c r="L364" s="257"/>
      <c r="M364" s="257"/>
      <c r="N364" s="257"/>
      <c r="O364" s="257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</row>
    <row r="365" ht="14.25" customHeight="1" spans="1:26" x14ac:dyDescent="0.25">
      <c r="A365" s="257"/>
      <c r="B365" s="308"/>
      <c r="C365" s="308"/>
      <c r="D365" s="308"/>
      <c r="E365" s="309"/>
      <c r="F365" s="257"/>
      <c r="G365" s="271"/>
      <c r="H365" s="257"/>
      <c r="I365" s="257"/>
      <c r="J365" s="257"/>
      <c r="K365" s="257"/>
      <c r="L365" s="257"/>
      <c r="M365" s="257"/>
      <c r="N365" s="257"/>
      <c r="O365" s="257"/>
      <c r="P365" s="257"/>
      <c r="Q365" s="257"/>
      <c r="R365" s="257"/>
      <c r="S365" s="257"/>
      <c r="T365" s="257"/>
      <c r="U365" s="257"/>
      <c r="V365" s="257"/>
      <c r="W365" s="257"/>
      <c r="X365" s="257"/>
      <c r="Y365" s="257"/>
      <c r="Z365" s="257"/>
    </row>
    <row r="366" ht="14.25" customHeight="1" spans="1:26" x14ac:dyDescent="0.25">
      <c r="A366" s="257"/>
      <c r="B366" s="308"/>
      <c r="C366" s="308"/>
      <c r="D366" s="308"/>
      <c r="E366" s="309"/>
      <c r="F366" s="257"/>
      <c r="G366" s="271"/>
      <c r="H366" s="257"/>
      <c r="I366" s="257"/>
      <c r="J366" s="257"/>
      <c r="K366" s="257"/>
      <c r="L366" s="257"/>
      <c r="M366" s="257"/>
      <c r="N366" s="257"/>
      <c r="O366" s="257"/>
      <c r="P366" s="257"/>
      <c r="Q366" s="257"/>
      <c r="R366" s="257"/>
      <c r="S366" s="257"/>
      <c r="T366" s="257"/>
      <c r="U366" s="257"/>
      <c r="V366" s="257"/>
      <c r="W366" s="257"/>
      <c r="X366" s="257"/>
      <c r="Y366" s="257"/>
      <c r="Z366" s="257"/>
    </row>
    <row r="367" ht="14.25" customHeight="1" spans="1:26" x14ac:dyDescent="0.25">
      <c r="A367" s="257"/>
      <c r="B367" s="308"/>
      <c r="C367" s="308"/>
      <c r="D367" s="308"/>
      <c r="E367" s="309"/>
      <c r="F367" s="257"/>
      <c r="G367" s="271"/>
      <c r="H367" s="257"/>
      <c r="I367" s="257"/>
      <c r="J367" s="257"/>
      <c r="K367" s="257"/>
      <c r="L367" s="257"/>
      <c r="M367" s="257"/>
      <c r="N367" s="257"/>
      <c r="O367" s="257"/>
      <c r="P367" s="257"/>
      <c r="Q367" s="257"/>
      <c r="R367" s="257"/>
      <c r="S367" s="257"/>
      <c r="T367" s="257"/>
      <c r="U367" s="257"/>
      <c r="V367" s="257"/>
      <c r="W367" s="257"/>
      <c r="X367" s="257"/>
      <c r="Y367" s="257"/>
      <c r="Z367" s="257"/>
    </row>
    <row r="368" ht="14.25" customHeight="1" spans="1:26" x14ac:dyDescent="0.25">
      <c r="A368" s="257"/>
      <c r="B368" s="308"/>
      <c r="C368" s="308"/>
      <c r="D368" s="308"/>
      <c r="E368" s="309"/>
      <c r="F368" s="257"/>
      <c r="G368" s="271"/>
      <c r="H368" s="257"/>
      <c r="I368" s="257"/>
      <c r="J368" s="257"/>
      <c r="K368" s="257"/>
      <c r="L368" s="257"/>
      <c r="M368" s="257"/>
      <c r="N368" s="257"/>
      <c r="O368" s="257"/>
      <c r="P368" s="257"/>
      <c r="Q368" s="257"/>
      <c r="R368" s="257"/>
      <c r="S368" s="257"/>
      <c r="T368" s="257"/>
      <c r="U368" s="257"/>
      <c r="V368" s="257"/>
      <c r="W368" s="257"/>
      <c r="X368" s="257"/>
      <c r="Y368" s="257"/>
      <c r="Z368" s="257"/>
    </row>
    <row r="369" ht="14.25" customHeight="1" spans="1:26" x14ac:dyDescent="0.25">
      <c r="A369" s="257"/>
      <c r="B369" s="308"/>
      <c r="C369" s="308"/>
      <c r="D369" s="308"/>
      <c r="E369" s="309"/>
      <c r="F369" s="257"/>
      <c r="G369" s="271"/>
      <c r="H369" s="257"/>
      <c r="I369" s="257"/>
      <c r="J369" s="257"/>
      <c r="K369" s="257"/>
      <c r="L369" s="257"/>
      <c r="M369" s="257"/>
      <c r="N369" s="257"/>
      <c r="O369" s="257"/>
      <c r="P369" s="257"/>
      <c r="Q369" s="257"/>
      <c r="R369" s="257"/>
      <c r="S369" s="257"/>
      <c r="T369" s="257"/>
      <c r="U369" s="257"/>
      <c r="V369" s="257"/>
      <c r="W369" s="257"/>
      <c r="X369" s="257"/>
      <c r="Y369" s="257"/>
      <c r="Z369" s="257"/>
    </row>
    <row r="370" ht="14.25" customHeight="1" spans="1:26" x14ac:dyDescent="0.25">
      <c r="A370" s="257"/>
      <c r="B370" s="308"/>
      <c r="C370" s="308"/>
      <c r="D370" s="308"/>
      <c r="E370" s="309"/>
      <c r="F370" s="257"/>
      <c r="G370" s="271"/>
      <c r="H370" s="257"/>
      <c r="I370" s="257"/>
      <c r="J370" s="257"/>
      <c r="K370" s="257"/>
      <c r="L370" s="257"/>
      <c r="M370" s="257"/>
      <c r="N370" s="257"/>
      <c r="O370" s="257"/>
      <c r="P370" s="257"/>
      <c r="Q370" s="257"/>
      <c r="R370" s="257"/>
      <c r="S370" s="257"/>
      <c r="T370" s="257"/>
      <c r="U370" s="257"/>
      <c r="V370" s="257"/>
      <c r="W370" s="257"/>
      <c r="X370" s="257"/>
      <c r="Y370" s="257"/>
      <c r="Z370" s="257"/>
    </row>
    <row r="371" ht="14.25" customHeight="1" spans="1:26" x14ac:dyDescent="0.25">
      <c r="A371" s="257"/>
      <c r="B371" s="308"/>
      <c r="C371" s="308"/>
      <c r="D371" s="308"/>
      <c r="E371" s="309"/>
      <c r="F371" s="257"/>
      <c r="G371" s="271"/>
      <c r="H371" s="257"/>
      <c r="I371" s="257"/>
      <c r="J371" s="257"/>
      <c r="K371" s="257"/>
      <c r="L371" s="257"/>
      <c r="M371" s="257"/>
      <c r="N371" s="257"/>
      <c r="O371" s="257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</row>
    <row r="372" ht="14.25" customHeight="1" spans="1:26" x14ac:dyDescent="0.25">
      <c r="A372" s="257"/>
      <c r="B372" s="308"/>
      <c r="C372" s="308"/>
      <c r="D372" s="308"/>
      <c r="E372" s="309"/>
      <c r="F372" s="257"/>
      <c r="G372" s="271"/>
      <c r="H372" s="257"/>
      <c r="I372" s="257"/>
      <c r="J372" s="257"/>
      <c r="K372" s="257"/>
      <c r="L372" s="257"/>
      <c r="M372" s="257"/>
      <c r="N372" s="257"/>
      <c r="O372" s="257"/>
      <c r="P372" s="257"/>
      <c r="Q372" s="257"/>
      <c r="R372" s="257"/>
      <c r="S372" s="257"/>
      <c r="T372" s="257"/>
      <c r="U372" s="257"/>
      <c r="V372" s="257"/>
      <c r="W372" s="257"/>
      <c r="X372" s="257"/>
      <c r="Y372" s="257"/>
      <c r="Z372" s="257"/>
    </row>
    <row r="373" ht="14.25" customHeight="1" spans="1:26" x14ac:dyDescent="0.25">
      <c r="A373" s="257"/>
      <c r="B373" s="308"/>
      <c r="C373" s="308"/>
      <c r="D373" s="308"/>
      <c r="E373" s="309"/>
      <c r="F373" s="257"/>
      <c r="G373" s="271"/>
      <c r="H373" s="257"/>
      <c r="I373" s="257"/>
      <c r="J373" s="257"/>
      <c r="K373" s="257"/>
      <c r="L373" s="257"/>
      <c r="M373" s="257"/>
      <c r="N373" s="257"/>
      <c r="O373" s="257"/>
      <c r="P373" s="257"/>
      <c r="Q373" s="257"/>
      <c r="R373" s="257"/>
      <c r="S373" s="257"/>
      <c r="T373" s="257"/>
      <c r="U373" s="257"/>
      <c r="V373" s="257"/>
      <c r="W373" s="257"/>
      <c r="X373" s="257"/>
      <c r="Y373" s="257"/>
      <c r="Z373" s="257"/>
    </row>
    <row r="374" ht="14.25" customHeight="1" spans="1:26" x14ac:dyDescent="0.25">
      <c r="A374" s="257"/>
      <c r="B374" s="308"/>
      <c r="C374" s="308"/>
      <c r="D374" s="308"/>
      <c r="E374" s="309"/>
      <c r="F374" s="257"/>
      <c r="G374" s="271"/>
      <c r="H374" s="257"/>
      <c r="I374" s="257"/>
      <c r="J374" s="257"/>
      <c r="K374" s="257"/>
      <c r="L374" s="257"/>
      <c r="M374" s="257"/>
      <c r="N374" s="257"/>
      <c r="O374" s="257"/>
      <c r="P374" s="257"/>
      <c r="Q374" s="257"/>
      <c r="R374" s="257"/>
      <c r="S374" s="257"/>
      <c r="T374" s="257"/>
      <c r="U374" s="257"/>
      <c r="V374" s="257"/>
      <c r="W374" s="257"/>
      <c r="X374" s="257"/>
      <c r="Y374" s="257"/>
      <c r="Z374" s="257"/>
    </row>
    <row r="375" ht="14.25" customHeight="1" spans="1:26" x14ac:dyDescent="0.25">
      <c r="A375" s="257"/>
      <c r="B375" s="308"/>
      <c r="C375" s="308"/>
      <c r="D375" s="308"/>
      <c r="E375" s="309"/>
      <c r="F375" s="257"/>
      <c r="G375" s="271"/>
      <c r="H375" s="257"/>
      <c r="I375" s="257"/>
      <c r="J375" s="257"/>
      <c r="K375" s="257"/>
      <c r="L375" s="257"/>
      <c r="M375" s="257"/>
      <c r="N375" s="257"/>
      <c r="O375" s="257"/>
      <c r="P375" s="257"/>
      <c r="Q375" s="257"/>
      <c r="R375" s="257"/>
      <c r="S375" s="257"/>
      <c r="T375" s="257"/>
      <c r="U375" s="257"/>
      <c r="V375" s="257"/>
      <c r="W375" s="257"/>
      <c r="X375" s="257"/>
      <c r="Y375" s="257"/>
      <c r="Z375" s="257"/>
    </row>
    <row r="376" ht="14.25" customHeight="1" spans="1:26" x14ac:dyDescent="0.25">
      <c r="A376" s="257"/>
      <c r="B376" s="308"/>
      <c r="C376" s="308"/>
      <c r="D376" s="308"/>
      <c r="E376" s="309"/>
      <c r="F376" s="257"/>
      <c r="G376" s="271"/>
      <c r="H376" s="257"/>
      <c r="I376" s="257"/>
      <c r="J376" s="257"/>
      <c r="K376" s="257"/>
      <c r="L376" s="257"/>
      <c r="M376" s="257"/>
      <c r="N376" s="257"/>
      <c r="O376" s="257"/>
      <c r="P376" s="257"/>
      <c r="Q376" s="257"/>
      <c r="R376" s="257"/>
      <c r="S376" s="257"/>
      <c r="T376" s="257"/>
      <c r="U376" s="257"/>
      <c r="V376" s="257"/>
      <c r="W376" s="257"/>
      <c r="X376" s="257"/>
      <c r="Y376" s="257"/>
      <c r="Z376" s="257"/>
    </row>
    <row r="377" ht="14.25" customHeight="1" spans="1:26" x14ac:dyDescent="0.25">
      <c r="A377" s="257"/>
      <c r="B377" s="308"/>
      <c r="C377" s="308"/>
      <c r="D377" s="308"/>
      <c r="E377" s="309"/>
      <c r="F377" s="257"/>
      <c r="G377" s="271"/>
      <c r="H377" s="257"/>
      <c r="I377" s="257"/>
      <c r="J377" s="257"/>
      <c r="K377" s="257"/>
      <c r="L377" s="257"/>
      <c r="M377" s="257"/>
      <c r="N377" s="257"/>
      <c r="O377" s="257"/>
      <c r="P377" s="257"/>
      <c r="Q377" s="257"/>
      <c r="R377" s="257"/>
      <c r="S377" s="257"/>
      <c r="T377" s="257"/>
      <c r="U377" s="257"/>
      <c r="V377" s="257"/>
      <c r="W377" s="257"/>
      <c r="X377" s="257"/>
      <c r="Y377" s="257"/>
      <c r="Z377" s="257"/>
    </row>
    <row r="378" ht="14.25" customHeight="1" spans="1:26" x14ac:dyDescent="0.25">
      <c r="A378" s="257"/>
      <c r="B378" s="308"/>
      <c r="C378" s="308"/>
      <c r="D378" s="308"/>
      <c r="E378" s="309"/>
      <c r="F378" s="257"/>
      <c r="G378" s="271"/>
      <c r="H378" s="257"/>
      <c r="I378" s="257"/>
      <c r="J378" s="257"/>
      <c r="K378" s="257"/>
      <c r="L378" s="257"/>
      <c r="M378" s="257"/>
      <c r="N378" s="257"/>
      <c r="O378" s="257"/>
      <c r="P378" s="257"/>
      <c r="Q378" s="257"/>
      <c r="R378" s="257"/>
      <c r="S378" s="257"/>
      <c r="T378" s="257"/>
      <c r="U378" s="257"/>
      <c r="V378" s="257"/>
      <c r="W378" s="257"/>
      <c r="X378" s="257"/>
      <c r="Y378" s="257"/>
      <c r="Z378" s="257"/>
    </row>
    <row r="379" ht="14.25" customHeight="1" spans="1:26" x14ac:dyDescent="0.25">
      <c r="A379" s="257"/>
      <c r="B379" s="308"/>
      <c r="C379" s="308"/>
      <c r="D379" s="308"/>
      <c r="E379" s="309"/>
      <c r="F379" s="257"/>
      <c r="G379" s="271"/>
      <c r="H379" s="257"/>
      <c r="I379" s="257"/>
      <c r="J379" s="257"/>
      <c r="K379" s="257"/>
      <c r="L379" s="257"/>
      <c r="M379" s="257"/>
      <c r="N379" s="257"/>
      <c r="O379" s="257"/>
      <c r="P379" s="257"/>
      <c r="Q379" s="257"/>
      <c r="R379" s="257"/>
      <c r="S379" s="257"/>
      <c r="T379" s="257"/>
      <c r="U379" s="257"/>
      <c r="V379" s="257"/>
      <c r="W379" s="257"/>
      <c r="X379" s="257"/>
      <c r="Y379" s="257"/>
      <c r="Z379" s="257"/>
    </row>
    <row r="380" ht="14.25" customHeight="1" spans="1:26" x14ac:dyDescent="0.25">
      <c r="A380" s="257"/>
      <c r="B380" s="308"/>
      <c r="C380" s="308"/>
      <c r="D380" s="308"/>
      <c r="E380" s="309"/>
      <c r="F380" s="257"/>
      <c r="G380" s="271"/>
      <c r="H380" s="257"/>
      <c r="I380" s="257"/>
      <c r="J380" s="257"/>
      <c r="K380" s="257"/>
      <c r="L380" s="257"/>
      <c r="M380" s="257"/>
      <c r="N380" s="257"/>
      <c r="O380" s="257"/>
      <c r="P380" s="257"/>
      <c r="Q380" s="257"/>
      <c r="R380" s="257"/>
      <c r="S380" s="257"/>
      <c r="T380" s="257"/>
      <c r="U380" s="257"/>
      <c r="V380" s="257"/>
      <c r="W380" s="257"/>
      <c r="X380" s="257"/>
      <c r="Y380" s="257"/>
      <c r="Z380" s="257"/>
    </row>
    <row r="381" ht="14.25" customHeight="1" spans="1:26" x14ac:dyDescent="0.25">
      <c r="A381" s="257"/>
      <c r="B381" s="308"/>
      <c r="C381" s="308"/>
      <c r="D381" s="308"/>
      <c r="E381" s="309"/>
      <c r="F381" s="257"/>
      <c r="G381" s="271"/>
      <c r="H381" s="257"/>
      <c r="I381" s="257"/>
      <c r="J381" s="257"/>
      <c r="K381" s="257"/>
      <c r="L381" s="257"/>
      <c r="M381" s="257"/>
      <c r="N381" s="257"/>
      <c r="O381" s="257"/>
      <c r="P381" s="257"/>
      <c r="Q381" s="257"/>
      <c r="R381" s="257"/>
      <c r="S381" s="257"/>
      <c r="T381" s="257"/>
      <c r="U381" s="257"/>
      <c r="V381" s="257"/>
      <c r="W381" s="257"/>
      <c r="X381" s="257"/>
      <c r="Y381" s="257"/>
      <c r="Z381" s="257"/>
    </row>
    <row r="382" ht="14.25" customHeight="1" spans="1:26" x14ac:dyDescent="0.25">
      <c r="A382" s="257"/>
      <c r="B382" s="308"/>
      <c r="C382" s="308"/>
      <c r="D382" s="308"/>
      <c r="E382" s="309"/>
      <c r="F382" s="257"/>
      <c r="G382" s="271"/>
      <c r="H382" s="257"/>
      <c r="I382" s="257"/>
      <c r="J382" s="257"/>
      <c r="K382" s="257"/>
      <c r="L382" s="257"/>
      <c r="M382" s="257"/>
      <c r="N382" s="257"/>
      <c r="O382" s="257"/>
      <c r="P382" s="257"/>
      <c r="Q382" s="257"/>
      <c r="R382" s="257"/>
      <c r="S382" s="257"/>
      <c r="T382" s="257"/>
      <c r="U382" s="257"/>
      <c r="V382" s="257"/>
      <c r="W382" s="257"/>
      <c r="X382" s="257"/>
      <c r="Y382" s="257"/>
      <c r="Z382" s="257"/>
    </row>
    <row r="383" ht="14.25" customHeight="1" spans="1:26" x14ac:dyDescent="0.25">
      <c r="A383" s="257"/>
      <c r="B383" s="308"/>
      <c r="C383" s="308"/>
      <c r="D383" s="308"/>
      <c r="E383" s="309"/>
      <c r="F383" s="257"/>
      <c r="G383" s="271"/>
      <c r="H383" s="257"/>
      <c r="I383" s="257"/>
      <c r="J383" s="257"/>
      <c r="K383" s="257"/>
      <c r="L383" s="257"/>
      <c r="M383" s="257"/>
      <c r="N383" s="257"/>
      <c r="O383" s="257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</row>
    <row r="384" ht="14.25" customHeight="1" spans="1:26" x14ac:dyDescent="0.25">
      <c r="A384" s="257"/>
      <c r="B384" s="308"/>
      <c r="C384" s="308"/>
      <c r="D384" s="308"/>
      <c r="E384" s="309"/>
      <c r="F384" s="257"/>
      <c r="G384" s="271"/>
      <c r="H384" s="257"/>
      <c r="I384" s="257"/>
      <c r="J384" s="257"/>
      <c r="K384" s="257"/>
      <c r="L384" s="257"/>
      <c r="M384" s="257"/>
      <c r="N384" s="257"/>
      <c r="O384" s="257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</row>
    <row r="385" ht="14.25" customHeight="1" spans="1:26" x14ac:dyDescent="0.25">
      <c r="A385" s="257"/>
      <c r="B385" s="308"/>
      <c r="C385" s="308"/>
      <c r="D385" s="308"/>
      <c r="E385" s="309"/>
      <c r="F385" s="257"/>
      <c r="G385" s="271"/>
      <c r="H385" s="257"/>
      <c r="I385" s="257"/>
      <c r="J385" s="257"/>
      <c r="K385" s="257"/>
      <c r="L385" s="257"/>
      <c r="M385" s="257"/>
      <c r="N385" s="257"/>
      <c r="O385" s="257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</row>
    <row r="386" ht="14.25" customHeight="1" spans="1:26" x14ac:dyDescent="0.25">
      <c r="A386" s="257"/>
      <c r="B386" s="308"/>
      <c r="C386" s="308"/>
      <c r="D386" s="308"/>
      <c r="E386" s="309"/>
      <c r="F386" s="257"/>
      <c r="G386" s="271"/>
      <c r="H386" s="257"/>
      <c r="I386" s="257"/>
      <c r="J386" s="257"/>
      <c r="K386" s="257"/>
      <c r="L386" s="257"/>
      <c r="M386" s="257"/>
      <c r="N386" s="257"/>
      <c r="O386" s="257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</row>
    <row r="387" ht="14.25" customHeight="1" spans="1:26" x14ac:dyDescent="0.25">
      <c r="A387" s="257"/>
      <c r="B387" s="308"/>
      <c r="C387" s="308"/>
      <c r="D387" s="308"/>
      <c r="E387" s="309"/>
      <c r="F387" s="257"/>
      <c r="G387" s="271"/>
      <c r="H387" s="257"/>
      <c r="I387" s="257"/>
      <c r="J387" s="257"/>
      <c r="K387" s="257"/>
      <c r="L387" s="257"/>
      <c r="M387" s="257"/>
      <c r="N387" s="257"/>
      <c r="O387" s="257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</row>
    <row r="388" ht="14.25" customHeight="1" spans="1:26" x14ac:dyDescent="0.25">
      <c r="A388" s="257"/>
      <c r="B388" s="308"/>
      <c r="C388" s="308"/>
      <c r="D388" s="308"/>
      <c r="E388" s="309"/>
      <c r="F388" s="257"/>
      <c r="G388" s="271"/>
      <c r="H388" s="257"/>
      <c r="I388" s="257"/>
      <c r="J388" s="257"/>
      <c r="K388" s="257"/>
      <c r="L388" s="257"/>
      <c r="M388" s="257"/>
      <c r="N388" s="257"/>
      <c r="O388" s="257"/>
      <c r="P388" s="257"/>
      <c r="Q388" s="257"/>
      <c r="R388" s="257"/>
      <c r="S388" s="257"/>
      <c r="T388" s="257"/>
      <c r="U388" s="257"/>
      <c r="V388" s="257"/>
      <c r="W388" s="257"/>
      <c r="X388" s="257"/>
      <c r="Y388" s="257"/>
      <c r="Z388" s="257"/>
    </row>
    <row r="389" ht="14.25" customHeight="1" spans="1:26" x14ac:dyDescent="0.25">
      <c r="A389" s="257"/>
      <c r="B389" s="308"/>
      <c r="C389" s="308"/>
      <c r="D389" s="308"/>
      <c r="E389" s="309"/>
      <c r="F389" s="257"/>
      <c r="G389" s="271"/>
      <c r="H389" s="257"/>
      <c r="I389" s="257"/>
      <c r="J389" s="257"/>
      <c r="K389" s="257"/>
      <c r="L389" s="257"/>
      <c r="M389" s="257"/>
      <c r="N389" s="257"/>
      <c r="O389" s="257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</row>
    <row r="390" ht="14.25" customHeight="1" spans="1:26" x14ac:dyDescent="0.25">
      <c r="A390" s="257"/>
      <c r="B390" s="308"/>
      <c r="C390" s="308"/>
      <c r="D390" s="308"/>
      <c r="E390" s="309"/>
      <c r="F390" s="257"/>
      <c r="G390" s="271"/>
      <c r="H390" s="257"/>
      <c r="I390" s="257"/>
      <c r="J390" s="257"/>
      <c r="K390" s="257"/>
      <c r="L390" s="257"/>
      <c r="M390" s="257"/>
      <c r="N390" s="257"/>
      <c r="O390" s="257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</row>
    <row r="391" ht="14.25" customHeight="1" spans="1:26" x14ac:dyDescent="0.25">
      <c r="A391" s="223"/>
      <c r="B391" s="314"/>
      <c r="C391" s="314"/>
      <c r="D391" s="314"/>
      <c r="E391" s="315"/>
      <c r="F391" s="223"/>
      <c r="G391" s="316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 ht="14.25" customHeight="1" spans="1:26" x14ac:dyDescent="0.25">
      <c r="A392" s="223"/>
      <c r="B392" s="314"/>
      <c r="C392" s="314"/>
      <c r="D392" s="314"/>
      <c r="E392" s="315"/>
      <c r="F392" s="223"/>
      <c r="G392" s="316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 ht="14.25" customHeight="1" spans="1:26" x14ac:dyDescent="0.25">
      <c r="A393" s="223"/>
      <c r="B393" s="314"/>
      <c r="C393" s="314"/>
      <c r="D393" s="314"/>
      <c r="E393" s="315"/>
      <c r="F393" s="223"/>
      <c r="G393" s="316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 ht="14.25" customHeight="1" spans="1:26" x14ac:dyDescent="0.25">
      <c r="A394" s="223"/>
      <c r="B394" s="314"/>
      <c r="C394" s="314"/>
      <c r="D394" s="314"/>
      <c r="E394" s="315"/>
      <c r="F394" s="223"/>
      <c r="G394" s="316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 ht="14.25" customHeight="1" spans="1:26" x14ac:dyDescent="0.25">
      <c r="A395" s="223"/>
      <c r="B395" s="314"/>
      <c r="C395" s="314"/>
      <c r="D395" s="314"/>
      <c r="E395" s="315"/>
      <c r="F395" s="223"/>
      <c r="G395" s="316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 ht="14.25" customHeight="1" spans="1:26" x14ac:dyDescent="0.25">
      <c r="A396" s="223"/>
      <c r="B396" s="314"/>
      <c r="C396" s="314"/>
      <c r="D396" s="314"/>
      <c r="E396" s="315"/>
      <c r="F396" s="223"/>
      <c r="G396" s="316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 ht="14.25" customHeight="1" spans="1:26" x14ac:dyDescent="0.25">
      <c r="A397" s="223"/>
      <c r="B397" s="314"/>
      <c r="C397" s="314"/>
      <c r="D397" s="314"/>
      <c r="E397" s="315"/>
      <c r="F397" s="223"/>
      <c r="G397" s="316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 ht="14.25" customHeight="1" spans="1:26" x14ac:dyDescent="0.25">
      <c r="A398" s="223"/>
      <c r="B398" s="314"/>
      <c r="C398" s="314"/>
      <c r="D398" s="314"/>
      <c r="E398" s="315"/>
      <c r="F398" s="223"/>
      <c r="G398" s="316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 ht="14.25" customHeight="1" spans="1:26" x14ac:dyDescent="0.25">
      <c r="A399" s="223"/>
      <c r="B399" s="314"/>
      <c r="C399" s="314"/>
      <c r="D399" s="314"/>
      <c r="E399" s="315"/>
      <c r="F399" s="223"/>
      <c r="G399" s="316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 ht="14.25" customHeight="1" spans="1:26" x14ac:dyDescent="0.25">
      <c r="A400" s="223"/>
      <c r="B400" s="314"/>
      <c r="C400" s="314"/>
      <c r="D400" s="314"/>
      <c r="E400" s="315"/>
      <c r="F400" s="223"/>
      <c r="G400" s="316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 ht="14.25" customHeight="1" spans="1:26" x14ac:dyDescent="0.25">
      <c r="A401" s="223"/>
      <c r="B401" s="314"/>
      <c r="C401" s="314"/>
      <c r="D401" s="314"/>
      <c r="E401" s="315"/>
      <c r="F401" s="223"/>
      <c r="G401" s="316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 ht="14.25" customHeight="1" spans="1:26" x14ac:dyDescent="0.25">
      <c r="A402" s="223"/>
      <c r="B402" s="314"/>
      <c r="C402" s="314"/>
      <c r="D402" s="314"/>
      <c r="E402" s="315"/>
      <c r="F402" s="223"/>
      <c r="G402" s="316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 ht="14.25" customHeight="1" spans="1:26" x14ac:dyDescent="0.25">
      <c r="A403" s="223"/>
      <c r="B403" s="314"/>
      <c r="C403" s="314"/>
      <c r="D403" s="314"/>
      <c r="E403" s="315"/>
      <c r="F403" s="223"/>
      <c r="G403" s="316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 ht="14.25" customHeight="1" spans="1:26" x14ac:dyDescent="0.25">
      <c r="A404" s="223"/>
      <c r="B404" s="314"/>
      <c r="C404" s="314"/>
      <c r="D404" s="314"/>
      <c r="E404" s="315"/>
      <c r="F404" s="223"/>
      <c r="G404" s="316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 ht="14.25" customHeight="1" spans="1:26" x14ac:dyDescent="0.25">
      <c r="A405" s="223"/>
      <c r="B405" s="314"/>
      <c r="C405" s="314"/>
      <c r="D405" s="314"/>
      <c r="E405" s="315"/>
      <c r="F405" s="223"/>
      <c r="G405" s="316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 ht="14.25" customHeight="1" spans="1:26" x14ac:dyDescent="0.25">
      <c r="A406" s="223"/>
      <c r="B406" s="314"/>
      <c r="C406" s="314"/>
      <c r="D406" s="314"/>
      <c r="E406" s="315"/>
      <c r="F406" s="223"/>
      <c r="G406" s="316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 ht="14.25" customHeight="1" spans="1:26" x14ac:dyDescent="0.25">
      <c r="A407" s="223"/>
      <c r="B407" s="314"/>
      <c r="C407" s="314"/>
      <c r="D407" s="314"/>
      <c r="E407" s="315"/>
      <c r="F407" s="223"/>
      <c r="G407" s="316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 ht="14.25" customHeight="1" spans="1:26" x14ac:dyDescent="0.25">
      <c r="A408" s="223"/>
      <c r="B408" s="314"/>
      <c r="C408" s="314"/>
      <c r="D408" s="314"/>
      <c r="E408" s="315"/>
      <c r="F408" s="223"/>
      <c r="G408" s="316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 ht="14.25" customHeight="1" spans="1:26" x14ac:dyDescent="0.25">
      <c r="A409" s="223"/>
      <c r="B409" s="314"/>
      <c r="C409" s="314"/>
      <c r="D409" s="314"/>
      <c r="E409" s="315"/>
      <c r="F409" s="223"/>
      <c r="G409" s="316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 ht="14.25" customHeight="1" spans="1:26" x14ac:dyDescent="0.25">
      <c r="A410" s="223"/>
      <c r="B410" s="314"/>
      <c r="C410" s="314"/>
      <c r="D410" s="314"/>
      <c r="E410" s="315"/>
      <c r="F410" s="223"/>
      <c r="G410" s="316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 ht="14.25" customHeight="1" spans="1:26" x14ac:dyDescent="0.25">
      <c r="A411" s="223"/>
      <c r="B411" s="314"/>
      <c r="C411" s="314"/>
      <c r="D411" s="314"/>
      <c r="E411" s="315"/>
      <c r="F411" s="223"/>
      <c r="G411" s="316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 ht="14.25" customHeight="1" spans="1:26" x14ac:dyDescent="0.25">
      <c r="A412" s="223"/>
      <c r="B412" s="314"/>
      <c r="C412" s="314"/>
      <c r="D412" s="314"/>
      <c r="E412" s="315"/>
      <c r="F412" s="223"/>
      <c r="G412" s="316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 ht="14.25" customHeight="1" spans="1:26" x14ac:dyDescent="0.25">
      <c r="A413" s="223"/>
      <c r="B413" s="314"/>
      <c r="C413" s="314"/>
      <c r="D413" s="314"/>
      <c r="E413" s="315"/>
      <c r="F413" s="223"/>
      <c r="G413" s="316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 ht="14.25" customHeight="1" spans="1:26" x14ac:dyDescent="0.25">
      <c r="A414" s="223"/>
      <c r="B414" s="314"/>
      <c r="C414" s="314"/>
      <c r="D414" s="314"/>
      <c r="E414" s="315"/>
      <c r="F414" s="223"/>
      <c r="G414" s="316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mergeCells count="18">
    <mergeCell ref="A1:G1"/>
    <mergeCell ref="A2:D2"/>
    <mergeCell ref="A3:D3"/>
    <mergeCell ref="A4:D4"/>
    <mergeCell ref="A5:D5"/>
    <mergeCell ref="A6:D6"/>
    <mergeCell ref="A7:F7"/>
    <mergeCell ref="B204:B205"/>
    <mergeCell ref="C204:C205"/>
    <mergeCell ref="D204:D205"/>
    <mergeCell ref="E204:E205"/>
    <mergeCell ref="F204:F205"/>
    <mergeCell ref="A208:C208"/>
    <mergeCell ref="A209:B209"/>
    <mergeCell ref="A210:B210"/>
    <mergeCell ref="A212:C212"/>
    <mergeCell ref="A213:B213"/>
    <mergeCell ref="A214:B214"/>
  </mergeCells>
  <hyperlinks>
    <hyperlink ref="G11" r:id="rId1"/>
    <hyperlink ref="G16" r:id="rId2"/>
  </hyperlinks>
  <pageMargins left="0.7" right="0.7" top="0.75" bottom="0.75" header="0.3" footer="0.3"/>
  <pageSetup paperSize="8" orientation="portrait" horizontalDpi="4294967295" verticalDpi="4294967295" scale="72" fitToWidth="0" fitToHeight="1" firstPageNumber="1" useFirstPageNumber="1" copies="1"/>
  <headerFooter>
    <oddHeader>&amp;L004280 QUARTERLY FINANCIAL INFORMATION</oddHeader>
    <oddFooter>&amp;C 12_TEM_FinancialInformation_V1.0_20191023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89"/>
  <sheetViews>
    <sheetView workbookViewId="0" zoomScale="100" zoomScaleNormal="100">
      <selection activeCell="A49" sqref="A49"/>
    </sheetView>
  </sheetViews>
  <sheetFormatPr defaultRowHeight="15" outlineLevelRow="0" outlineLevelCol="0" x14ac:dyDescent="0.3" defaultColWidth="14.453125"/>
  <cols>
    <col min="1" max="1" width="43" style="227" customWidth="1"/>
    <col min="2" max="2" width="22.1796875" style="317" customWidth="1"/>
    <col min="3" max="3" width="41.7265625" style="227" customWidth="1"/>
    <col min="4" max="16384" width="14.453125" style="227" customWidth="1"/>
  </cols>
  <sheetData>
    <row r="1" ht="14.25" customHeight="1" spans="1:3" x14ac:dyDescent="0.25">
      <c r="A1" s="220" t="s">
        <v>219</v>
      </c>
      <c r="B1" s="221"/>
      <c r="C1" s="318"/>
    </row>
    <row r="2" ht="14.25" customHeight="1" spans="1:3" x14ac:dyDescent="0.25">
      <c r="A2" s="59" t="s">
        <v>177</v>
      </c>
      <c r="B2" s="319" t="s">
        <v>220</v>
      </c>
      <c r="C2" s="320"/>
    </row>
    <row r="3" ht="14.25" customHeight="1" spans="1:3" x14ac:dyDescent="0.25">
      <c r="A3" s="59" t="s">
        <v>178</v>
      </c>
      <c r="B3" s="319" t="s">
        <v>221</v>
      </c>
      <c r="C3" s="320"/>
    </row>
    <row r="4" ht="14.25" customHeight="1" spans="1:3" x14ac:dyDescent="0.25">
      <c r="A4" s="59" t="s">
        <v>222</v>
      </c>
      <c r="B4" s="319" t="s">
        <v>223</v>
      </c>
      <c r="C4" s="320"/>
    </row>
    <row r="5" ht="3" customHeight="1" spans="1:3" x14ac:dyDescent="0.25">
      <c r="A5" s="321"/>
      <c r="B5" s="227"/>
      <c r="C5" s="320"/>
    </row>
    <row r="6" ht="14.25" customHeight="1" spans="1:2" x14ac:dyDescent="0.25">
      <c r="A6" s="242" t="s">
        <v>190</v>
      </c>
      <c r="B6" s="322" t="s">
        <v>184</v>
      </c>
    </row>
    <row r="7" ht="42" customHeight="1" spans="1:3" x14ac:dyDescent="0.25">
      <c r="A7" s="247" t="s">
        <v>195</v>
      </c>
      <c r="B7" s="323">
        <f>SUM('Quarterly financial'!C204:C205)</f>
      </c>
      <c r="C7" s="320"/>
    </row>
    <row r="8" ht="14.25" customHeight="1" spans="1:3" x14ac:dyDescent="0.25">
      <c r="A8" s="247" t="s">
        <v>196</v>
      </c>
      <c r="B8" s="323">
        <v>25000</v>
      </c>
      <c r="C8" s="320"/>
    </row>
    <row r="9" ht="14.25" customHeight="1" spans="1:3" x14ac:dyDescent="0.25">
      <c r="A9" s="238" t="s">
        <v>224</v>
      </c>
      <c r="B9" s="323">
        <f>SUM(B7:B8)</f>
      </c>
      <c r="C9" s="320"/>
    </row>
    <row r="10" ht="42" customHeight="1" spans="1:3" x14ac:dyDescent="0.25">
      <c r="A10" s="242" t="s">
        <v>225</v>
      </c>
      <c r="B10" s="324">
        <f>SUM(B11+B22+B29)</f>
      </c>
      <c r="C10" s="325" t="s">
        <v>226</v>
      </c>
    </row>
    <row r="11" ht="14.25" customHeight="1" spans="1:3" x14ac:dyDescent="0.25">
      <c r="A11" s="264" t="s">
        <v>207</v>
      </c>
      <c r="B11" s="326">
        <f>SUM(B12:B20)</f>
      </c>
      <c r="C11" s="268"/>
    </row>
    <row r="12" ht="28.5" customHeight="1" spans="1:3" x14ac:dyDescent="0.25">
      <c r="A12" s="247" t="s">
        <v>43</v>
      </c>
      <c r="B12" s="327">
        <v>20000</v>
      </c>
      <c r="C12" s="251"/>
    </row>
    <row r="13" ht="30.75" customHeight="1" spans="1:3" x14ac:dyDescent="0.25">
      <c r="A13" s="285" t="s">
        <v>48</v>
      </c>
      <c r="B13" s="328"/>
      <c r="C13" s="251"/>
    </row>
    <row r="14" ht="37.5" customHeight="1" spans="1:3" x14ac:dyDescent="0.25">
      <c r="A14" s="285" t="s">
        <v>53</v>
      </c>
      <c r="B14" s="329"/>
      <c r="C14" s="251"/>
    </row>
    <row r="15" ht="14.25" customHeight="1" spans="1:3" x14ac:dyDescent="0.25">
      <c r="A15" s="285" t="s">
        <v>87</v>
      </c>
      <c r="B15" s="327">
        <v>5000</v>
      </c>
      <c r="C15" s="251"/>
    </row>
    <row r="16" ht="14.25" customHeight="1" spans="1:3" x14ac:dyDescent="0.25">
      <c r="A16" s="285" t="s">
        <v>90</v>
      </c>
      <c r="B16" s="328"/>
      <c r="C16" s="251"/>
    </row>
    <row r="17" ht="14.25" customHeight="1" spans="1:3" x14ac:dyDescent="0.25">
      <c r="A17" s="285" t="s">
        <v>93</v>
      </c>
      <c r="B17" s="329"/>
      <c r="C17" s="251"/>
    </row>
    <row r="18" ht="14.25" customHeight="1" spans="1:3" x14ac:dyDescent="0.25">
      <c r="A18" s="285" t="s">
        <v>99</v>
      </c>
      <c r="B18" s="327">
        <v>5000</v>
      </c>
      <c r="C18" s="251"/>
    </row>
    <row r="19" ht="28" customHeight="1" spans="1:3" x14ac:dyDescent="0.25">
      <c r="A19" s="285" t="s">
        <v>103</v>
      </c>
      <c r="B19" s="328"/>
      <c r="C19" s="251"/>
    </row>
    <row r="20" ht="15.75" customHeight="1" spans="1:3" x14ac:dyDescent="0.25">
      <c r="A20" s="247" t="s">
        <v>105</v>
      </c>
      <c r="B20" s="329"/>
      <c r="C20" s="251"/>
    </row>
    <row r="21" ht="14.25" customHeight="1" spans="1:3" x14ac:dyDescent="0.25">
      <c r="A21" s="238"/>
      <c r="B21" s="323"/>
      <c r="C21" s="251"/>
    </row>
    <row r="22" ht="14.25" customHeight="1" spans="1:3" x14ac:dyDescent="0.25">
      <c r="A22" s="330" t="s">
        <v>163</v>
      </c>
      <c r="B22" s="331">
        <f>SUM(B23:B28)</f>
      </c>
      <c r="C22" s="268"/>
    </row>
    <row r="23" ht="15.75" customHeight="1" spans="1:3" x14ac:dyDescent="0.25">
      <c r="A23" s="246" t="s">
        <v>111</v>
      </c>
      <c r="B23" s="327">
        <v>5000</v>
      </c>
      <c r="C23" s="251"/>
    </row>
    <row r="24" ht="15.75" customHeight="1" spans="1:3" x14ac:dyDescent="0.25">
      <c r="A24" s="247" t="s">
        <v>116</v>
      </c>
      <c r="B24" s="328"/>
      <c r="C24" s="251"/>
    </row>
    <row r="25" ht="15.75" customHeight="1" spans="1:3" x14ac:dyDescent="0.25">
      <c r="A25" s="247" t="s">
        <v>119</v>
      </c>
      <c r="B25" s="329"/>
      <c r="C25" s="251"/>
    </row>
    <row r="26" ht="15.75" customHeight="1" spans="1:3" x14ac:dyDescent="0.25">
      <c r="A26" s="247" t="s">
        <v>136</v>
      </c>
      <c r="B26" s="327">
        <v>5000</v>
      </c>
      <c r="C26" s="251"/>
    </row>
    <row r="27" ht="15.75" customHeight="1" spans="1:3" x14ac:dyDescent="0.25">
      <c r="A27" s="247" t="s">
        <v>139</v>
      </c>
      <c r="B27" s="328"/>
      <c r="C27" s="251"/>
    </row>
    <row r="28" ht="15.75" customHeight="1" spans="1:3" x14ac:dyDescent="0.25">
      <c r="A28" s="247" t="s">
        <v>143</v>
      </c>
      <c r="B28" s="329"/>
      <c r="C28" s="251"/>
    </row>
    <row r="29" ht="14.25" customHeight="1" spans="1:3" x14ac:dyDescent="0.25">
      <c r="A29" s="330" t="s">
        <v>208</v>
      </c>
      <c r="B29" s="331">
        <f>SUM(B30:B31)</f>
      </c>
      <c r="C29" s="268"/>
    </row>
    <row r="30" ht="15.75" customHeight="1" spans="1:3" x14ac:dyDescent="0.25">
      <c r="A30" s="247" t="s">
        <v>227</v>
      </c>
      <c r="B30" s="323">
        <f>SUM('Quarterly financial'!D121)</f>
      </c>
      <c r="C30" s="251" t="s">
        <v>228</v>
      </c>
    </row>
    <row r="31" ht="15.75" customHeight="1" spans="1:3" x14ac:dyDescent="0.25">
      <c r="A31" s="285" t="s">
        <v>229</v>
      </c>
      <c r="B31" s="323">
        <f>SUM('Quarterly financial'!D122)</f>
      </c>
      <c r="C31" s="251" t="s">
        <v>230</v>
      </c>
    </row>
    <row r="32" ht="14.25" customHeight="1" spans="1:3" x14ac:dyDescent="0.25">
      <c r="A32" s="284" t="s">
        <v>231</v>
      </c>
      <c r="B32" s="331">
        <f>SUM(B33:B33)</f>
      </c>
      <c r="C32" s="268"/>
    </row>
    <row r="33" ht="14.25" customHeight="1" spans="1:3" x14ac:dyDescent="0.25">
      <c r="A33" s="332"/>
      <c r="B33" s="323">
        <v>0</v>
      </c>
      <c r="C33" s="251"/>
    </row>
    <row r="34" ht="14.25" customHeight="1" spans="1:3" x14ac:dyDescent="0.25">
      <c r="A34" s="333" t="s">
        <v>209</v>
      </c>
      <c r="B34" s="331">
        <f>SUM(B35:B38)</f>
      </c>
      <c r="C34" s="268"/>
    </row>
    <row r="35" ht="14.25" customHeight="1" spans="1:3" x14ac:dyDescent="0.25">
      <c r="A35" s="334"/>
      <c r="B35" s="323">
        <v>0</v>
      </c>
      <c r="C35" s="251"/>
    </row>
    <row r="36" ht="14.25" customHeight="1" spans="1:3" x14ac:dyDescent="0.25">
      <c r="A36" s="334"/>
      <c r="B36" s="323">
        <v>0</v>
      </c>
      <c r="C36" s="251"/>
    </row>
    <row r="37" ht="14.25" customHeight="1" spans="1:3" x14ac:dyDescent="0.25">
      <c r="A37" s="285"/>
      <c r="B37" s="323">
        <v>0</v>
      </c>
      <c r="C37" s="251"/>
    </row>
    <row r="38" ht="14.25" customHeight="1" spans="1:3" x14ac:dyDescent="0.25">
      <c r="A38" s="285"/>
      <c r="B38" s="323">
        <v>0</v>
      </c>
      <c r="C38" s="251"/>
    </row>
    <row r="39" ht="14.25" customHeight="1" spans="1:3" x14ac:dyDescent="0.25">
      <c r="A39" s="285"/>
      <c r="B39" s="323"/>
      <c r="C39" s="251"/>
    </row>
    <row r="40" ht="14.25" customHeight="1" spans="1:3" x14ac:dyDescent="0.25">
      <c r="A40" s="238" t="s">
        <v>232</v>
      </c>
      <c r="B40" s="323">
        <f>B11+B22+B29+B32+B34</f>
      </c>
      <c r="C40" s="251"/>
    </row>
    <row r="41" ht="14.25" customHeight="1" spans="1:3" x14ac:dyDescent="0.25">
      <c r="A41" s="335" t="s">
        <v>233</v>
      </c>
      <c r="B41" s="336">
        <f>B9-B40</f>
      </c>
      <c r="C41" s="337" t="s">
        <v>234</v>
      </c>
    </row>
    <row r="42" ht="14.25" customHeight="1" spans="1:3" x14ac:dyDescent="0.25">
      <c r="A42" s="338"/>
      <c r="C42" s="320"/>
    </row>
    <row r="43" ht="14.25" customHeight="1" spans="1:3" x14ac:dyDescent="0.25">
      <c r="A43" s="338"/>
      <c r="C43" s="320"/>
    </row>
    <row r="44" ht="20.25" customHeight="1" spans="1:3" x14ac:dyDescent="0.25">
      <c r="A44" s="338" t="s">
        <v>235</v>
      </c>
      <c r="B44" s="339"/>
      <c r="C44" s="320"/>
    </row>
    <row r="45" ht="20.25" customHeight="1" spans="1:3" x14ac:dyDescent="0.25">
      <c r="A45" s="340" t="s">
        <v>236</v>
      </c>
      <c r="B45" s="227"/>
      <c r="C45" s="320"/>
    </row>
    <row r="46" ht="63" customHeight="1" spans="1:3" x14ac:dyDescent="0.25">
      <c r="A46" s="340" t="s">
        <v>218</v>
      </c>
      <c r="B46" s="227"/>
      <c r="C46" s="320"/>
    </row>
    <row r="47" ht="20.25" customHeight="1" spans="1:3" x14ac:dyDescent="0.25">
      <c r="A47" s="340" t="s">
        <v>216</v>
      </c>
      <c r="B47" s="227"/>
      <c r="C47" s="320"/>
    </row>
    <row r="48" ht="20.25" customHeight="1" spans="1:3" x14ac:dyDescent="0.25">
      <c r="A48" s="340"/>
      <c r="B48" s="339"/>
      <c r="C48" s="320"/>
    </row>
    <row r="49" ht="20.25" customHeight="1" spans="1:3" x14ac:dyDescent="0.25">
      <c r="A49" s="340" t="s">
        <v>237</v>
      </c>
      <c r="B49" s="227"/>
      <c r="C49" s="320"/>
    </row>
    <row r="50" ht="60.75" customHeight="1" spans="1:3" x14ac:dyDescent="0.25">
      <c r="A50" s="340" t="s">
        <v>218</v>
      </c>
      <c r="B50" s="227"/>
      <c r="C50" s="320"/>
    </row>
    <row r="51" ht="20.25" customHeight="1" spans="1:3" x14ac:dyDescent="0.25">
      <c r="A51" s="340" t="s">
        <v>216</v>
      </c>
      <c r="B51" s="227"/>
      <c r="C51" s="320"/>
    </row>
    <row r="52" ht="14.25" customHeight="1" spans="3:3" x14ac:dyDescent="0.25">
      <c r="C52" s="320"/>
    </row>
    <row r="53" ht="14.25" customHeight="1" spans="3:3" x14ac:dyDescent="0.25">
      <c r="C53" s="320"/>
    </row>
    <row r="54" ht="14.25" customHeight="1" spans="3:3" x14ac:dyDescent="0.25">
      <c r="C54" s="320"/>
    </row>
    <row r="55" ht="14.25" customHeight="1" spans="3:3" x14ac:dyDescent="0.25">
      <c r="C55" s="320"/>
    </row>
    <row r="56" ht="14.25" customHeight="1" spans="3:3" x14ac:dyDescent="0.25">
      <c r="C56" s="320"/>
    </row>
    <row r="57" ht="14.25" customHeight="1" spans="3:3" x14ac:dyDescent="0.25">
      <c r="C57" s="320"/>
    </row>
    <row r="58" ht="14.25" customHeight="1" spans="3:3" x14ac:dyDescent="0.25">
      <c r="C58" s="320"/>
    </row>
    <row r="59" ht="14.25" customHeight="1" spans="3:3" x14ac:dyDescent="0.25">
      <c r="C59" s="320"/>
    </row>
    <row r="60" ht="14.25" customHeight="1" spans="3:3" x14ac:dyDescent="0.25">
      <c r="C60" s="320"/>
    </row>
    <row r="61" ht="14.25" customHeight="1" spans="3:3" x14ac:dyDescent="0.25">
      <c r="C61" s="320"/>
    </row>
    <row r="62" ht="14.25" customHeight="1" spans="3:3" x14ac:dyDescent="0.25">
      <c r="C62" s="320"/>
    </row>
    <row r="63" ht="14.25" customHeight="1" spans="3:3" x14ac:dyDescent="0.25">
      <c r="C63" s="320"/>
    </row>
    <row r="64" ht="14.25" customHeight="1" spans="3:3" x14ac:dyDescent="0.25">
      <c r="C64" s="320"/>
    </row>
    <row r="65" ht="14.25" customHeight="1" spans="3:3" x14ac:dyDescent="0.25">
      <c r="C65" s="320"/>
    </row>
    <row r="66" ht="14.25" customHeight="1" spans="3:3" x14ac:dyDescent="0.25">
      <c r="C66" s="320"/>
    </row>
    <row r="67" ht="14.25" customHeight="1" spans="3:3" x14ac:dyDescent="0.25">
      <c r="C67" s="320"/>
    </row>
    <row r="68" ht="14.25" customHeight="1" spans="3:3" x14ac:dyDescent="0.25">
      <c r="C68" s="320"/>
    </row>
    <row r="69" ht="14.25" customHeight="1" spans="3:3" x14ac:dyDescent="0.25">
      <c r="C69" s="320"/>
    </row>
    <row r="70" ht="14.25" customHeight="1" spans="3:3" x14ac:dyDescent="0.25">
      <c r="C70" s="320"/>
    </row>
    <row r="71" ht="14.25" customHeight="1" spans="3:3" x14ac:dyDescent="0.25">
      <c r="C71" s="320"/>
    </row>
    <row r="72" ht="14.25" customHeight="1" spans="3:3" x14ac:dyDescent="0.25">
      <c r="C72" s="320"/>
    </row>
    <row r="73" ht="14.25" customHeight="1" spans="3:3" x14ac:dyDescent="0.25">
      <c r="C73" s="320"/>
    </row>
    <row r="74" ht="14.25" customHeight="1" spans="3:3" x14ac:dyDescent="0.25">
      <c r="C74" s="320"/>
    </row>
    <row r="75" ht="14.25" customHeight="1" spans="3:3" x14ac:dyDescent="0.25">
      <c r="C75" s="320"/>
    </row>
    <row r="76" ht="14.25" customHeight="1" spans="3:3" x14ac:dyDescent="0.25">
      <c r="C76" s="320"/>
    </row>
    <row r="77" ht="14.25" customHeight="1" spans="3:3" x14ac:dyDescent="0.25">
      <c r="C77" s="320"/>
    </row>
    <row r="78" ht="14.25" customHeight="1" spans="3:3" x14ac:dyDescent="0.25">
      <c r="C78" s="320"/>
    </row>
    <row r="79" ht="14.25" customHeight="1" spans="3:3" x14ac:dyDescent="0.25">
      <c r="C79" s="320"/>
    </row>
    <row r="80" ht="14.25" customHeight="1" spans="3:3" x14ac:dyDescent="0.25">
      <c r="C80" s="320"/>
    </row>
    <row r="81" ht="14.25" customHeight="1" spans="3:3" x14ac:dyDescent="0.25">
      <c r="C81" s="320"/>
    </row>
    <row r="82" ht="14.25" customHeight="1" spans="3:3" x14ac:dyDescent="0.25">
      <c r="C82" s="320"/>
    </row>
    <row r="83" ht="14.25" customHeight="1" spans="3:3" x14ac:dyDescent="0.25">
      <c r="C83" s="320"/>
    </row>
    <row r="84" ht="14.25" customHeight="1" spans="3:3" x14ac:dyDescent="0.25">
      <c r="C84" s="320"/>
    </row>
    <row r="85" ht="14.25" customHeight="1" spans="3:3" x14ac:dyDescent="0.25">
      <c r="C85" s="320"/>
    </row>
    <row r="86" ht="14.25" customHeight="1" spans="3:3" x14ac:dyDescent="0.25">
      <c r="C86" s="320"/>
    </row>
    <row r="87" ht="14.25" customHeight="1" spans="3:3" x14ac:dyDescent="0.25">
      <c r="C87" s="320"/>
    </row>
    <row r="88" ht="14.25" customHeight="1" spans="3:3" x14ac:dyDescent="0.25">
      <c r="C88" s="320"/>
    </row>
    <row r="89" ht="14.25" customHeight="1" spans="3:3" x14ac:dyDescent="0.25">
      <c r="C89" s="320"/>
    </row>
    <row r="90" ht="14.25" customHeight="1" spans="3:3" x14ac:dyDescent="0.25">
      <c r="C90" s="320"/>
    </row>
    <row r="91" ht="14.25" customHeight="1" spans="3:3" x14ac:dyDescent="0.25">
      <c r="C91" s="320"/>
    </row>
    <row r="92" ht="14.25" customHeight="1" spans="3:3" x14ac:dyDescent="0.25">
      <c r="C92" s="320"/>
    </row>
    <row r="93" ht="14.25" customHeight="1" spans="3:3" x14ac:dyDescent="0.25">
      <c r="C93" s="320"/>
    </row>
    <row r="94" ht="14.25" customHeight="1" spans="3:3" x14ac:dyDescent="0.25">
      <c r="C94" s="320"/>
    </row>
    <row r="95" ht="14.25" customHeight="1" spans="3:3" x14ac:dyDescent="0.25">
      <c r="C95" s="320"/>
    </row>
    <row r="96" ht="14.25" customHeight="1" spans="3:3" x14ac:dyDescent="0.25">
      <c r="C96" s="320"/>
    </row>
    <row r="97" ht="14.25" customHeight="1" spans="3:3" x14ac:dyDescent="0.25">
      <c r="C97" s="320"/>
    </row>
    <row r="98" ht="14.25" customHeight="1" spans="3:3" x14ac:dyDescent="0.25">
      <c r="C98" s="320"/>
    </row>
    <row r="99" ht="14.25" customHeight="1" spans="3:3" x14ac:dyDescent="0.25">
      <c r="C99" s="320"/>
    </row>
    <row r="100" ht="14.25" customHeight="1" spans="3:3" x14ac:dyDescent="0.25">
      <c r="C100" s="320"/>
    </row>
    <row r="101" ht="14.25" customHeight="1" spans="3:3" x14ac:dyDescent="0.25">
      <c r="C101" s="320"/>
    </row>
    <row r="102" ht="14.25" customHeight="1" spans="3:3" x14ac:dyDescent="0.25">
      <c r="C102" s="320"/>
    </row>
    <row r="103" ht="14.25" customHeight="1" spans="3:3" x14ac:dyDescent="0.25">
      <c r="C103" s="320"/>
    </row>
    <row r="104" ht="14.25" customHeight="1" spans="3:3" x14ac:dyDescent="0.25">
      <c r="C104" s="320"/>
    </row>
    <row r="105" ht="14.25" customHeight="1" spans="3:3" x14ac:dyDescent="0.25">
      <c r="C105" s="320"/>
    </row>
    <row r="106" ht="14.25" customHeight="1" spans="3:3" x14ac:dyDescent="0.25">
      <c r="C106" s="320"/>
    </row>
    <row r="107" ht="14.25" customHeight="1" spans="3:3" x14ac:dyDescent="0.25">
      <c r="C107" s="320"/>
    </row>
    <row r="108" ht="14.25" customHeight="1" spans="3:3" x14ac:dyDescent="0.25">
      <c r="C108" s="320"/>
    </row>
    <row r="109" ht="14.25" customHeight="1" spans="3:3" x14ac:dyDescent="0.25">
      <c r="C109" s="320"/>
    </row>
    <row r="110" ht="14.25" customHeight="1" spans="3:3" x14ac:dyDescent="0.25">
      <c r="C110" s="320"/>
    </row>
    <row r="111" ht="14.25" customHeight="1" spans="3:3" x14ac:dyDescent="0.25">
      <c r="C111" s="320"/>
    </row>
    <row r="112" ht="14.25" customHeight="1" spans="3:3" x14ac:dyDescent="0.25">
      <c r="C112" s="320"/>
    </row>
    <row r="113" ht="14.25" customHeight="1" spans="3:3" x14ac:dyDescent="0.25">
      <c r="C113" s="320"/>
    </row>
    <row r="114" ht="14.25" customHeight="1" spans="3:3" x14ac:dyDescent="0.25">
      <c r="C114" s="320"/>
    </row>
    <row r="115" ht="14.25" customHeight="1" spans="3:3" x14ac:dyDescent="0.25">
      <c r="C115" s="320"/>
    </row>
    <row r="116" ht="14.25" customHeight="1" spans="3:3" x14ac:dyDescent="0.25">
      <c r="C116" s="320"/>
    </row>
    <row r="117" ht="14.25" customHeight="1" spans="3:3" x14ac:dyDescent="0.25">
      <c r="C117" s="320"/>
    </row>
    <row r="118" ht="14.25" customHeight="1" spans="3:3" x14ac:dyDescent="0.25">
      <c r="C118" s="320"/>
    </row>
    <row r="119" ht="14.25" customHeight="1" spans="3:3" x14ac:dyDescent="0.25">
      <c r="C119" s="320"/>
    </row>
    <row r="120" ht="14.25" customHeight="1" spans="3:3" x14ac:dyDescent="0.25">
      <c r="C120" s="320"/>
    </row>
    <row r="121" ht="14.25" customHeight="1" spans="3:3" x14ac:dyDescent="0.25">
      <c r="C121" s="320"/>
    </row>
    <row r="122" ht="14.25" customHeight="1" spans="3:3" x14ac:dyDescent="0.25">
      <c r="C122" s="320"/>
    </row>
    <row r="123" ht="14.25" customHeight="1" spans="3:3" x14ac:dyDescent="0.25">
      <c r="C123" s="320"/>
    </row>
    <row r="124" ht="14.25" customHeight="1" spans="3:3" x14ac:dyDescent="0.25">
      <c r="C124" s="320"/>
    </row>
    <row r="125" ht="14.25" customHeight="1" spans="3:3" x14ac:dyDescent="0.25">
      <c r="C125" s="320"/>
    </row>
    <row r="126" ht="14.25" customHeight="1" spans="3:3" x14ac:dyDescent="0.25">
      <c r="C126" s="320"/>
    </row>
    <row r="127" ht="14.25" customHeight="1" spans="3:3" x14ac:dyDescent="0.25">
      <c r="C127" s="320"/>
    </row>
    <row r="128" ht="14.25" customHeight="1" spans="3:3" x14ac:dyDescent="0.25">
      <c r="C128" s="320"/>
    </row>
    <row r="129" ht="14.25" customHeight="1" spans="3:3" x14ac:dyDescent="0.25">
      <c r="C129" s="320"/>
    </row>
    <row r="130" ht="14.25" customHeight="1" spans="3:3" x14ac:dyDescent="0.25">
      <c r="C130" s="320"/>
    </row>
    <row r="131" ht="14.25" customHeight="1" spans="3:3" x14ac:dyDescent="0.25">
      <c r="C131" s="320"/>
    </row>
    <row r="132" ht="14.25" customHeight="1" spans="3:3" x14ac:dyDescent="0.25">
      <c r="C132" s="320"/>
    </row>
    <row r="133" ht="14.25" customHeight="1" spans="3:3" x14ac:dyDescent="0.25">
      <c r="C133" s="320"/>
    </row>
    <row r="134" ht="14.25" customHeight="1" spans="3:3" x14ac:dyDescent="0.25">
      <c r="C134" s="320"/>
    </row>
    <row r="135" ht="14.25" customHeight="1" spans="3:3" x14ac:dyDescent="0.25">
      <c r="C135" s="320"/>
    </row>
    <row r="136" ht="14.25" customHeight="1" spans="3:3" x14ac:dyDescent="0.25">
      <c r="C136" s="320"/>
    </row>
    <row r="137" ht="14.25" customHeight="1" spans="3:3" x14ac:dyDescent="0.25">
      <c r="C137" s="320"/>
    </row>
    <row r="138" ht="14.25" customHeight="1" spans="3:3" x14ac:dyDescent="0.25">
      <c r="C138" s="320"/>
    </row>
    <row r="139" ht="14.25" customHeight="1" spans="3:3" x14ac:dyDescent="0.25">
      <c r="C139" s="320"/>
    </row>
    <row r="140" ht="14.25" customHeight="1" spans="3:3" x14ac:dyDescent="0.25">
      <c r="C140" s="320"/>
    </row>
    <row r="141" ht="14.25" customHeight="1" spans="3:3" x14ac:dyDescent="0.25">
      <c r="C141" s="320"/>
    </row>
    <row r="142" ht="14.25" customHeight="1" spans="3:3" x14ac:dyDescent="0.25">
      <c r="C142" s="320"/>
    </row>
    <row r="143" ht="14.25" customHeight="1" spans="3:3" x14ac:dyDescent="0.25">
      <c r="C143" s="320"/>
    </row>
    <row r="144" ht="14.25" customHeight="1" spans="3:3" x14ac:dyDescent="0.25">
      <c r="C144" s="320"/>
    </row>
    <row r="145" ht="14.25" customHeight="1" spans="3:3" x14ac:dyDescent="0.25">
      <c r="C145" s="320"/>
    </row>
    <row r="146" ht="14.25" customHeight="1" spans="3:3" x14ac:dyDescent="0.25">
      <c r="C146" s="320"/>
    </row>
    <row r="147" ht="14.25" customHeight="1" spans="3:3" x14ac:dyDescent="0.25">
      <c r="C147" s="320"/>
    </row>
    <row r="148" ht="14.25" customHeight="1" spans="3:3" x14ac:dyDescent="0.25">
      <c r="C148" s="320"/>
    </row>
    <row r="149" ht="14.25" customHeight="1" spans="3:3" x14ac:dyDescent="0.25">
      <c r="C149" s="320"/>
    </row>
    <row r="150" ht="14.25" customHeight="1" spans="3:3" x14ac:dyDescent="0.25">
      <c r="C150" s="320"/>
    </row>
    <row r="151" ht="14.25" customHeight="1" spans="3:3" x14ac:dyDescent="0.25">
      <c r="C151" s="320"/>
    </row>
    <row r="152" ht="14.25" customHeight="1" spans="3:3" x14ac:dyDescent="0.25">
      <c r="C152" s="320"/>
    </row>
    <row r="153" ht="14.25" customHeight="1" spans="3:3" x14ac:dyDescent="0.25">
      <c r="C153" s="320"/>
    </row>
    <row r="154" ht="14.25" customHeight="1" spans="3:3" x14ac:dyDescent="0.25">
      <c r="C154" s="320"/>
    </row>
    <row r="155" ht="14.25" customHeight="1" spans="3:3" x14ac:dyDescent="0.25">
      <c r="C155" s="320"/>
    </row>
    <row r="156" ht="14.25" customHeight="1" spans="3:3" x14ac:dyDescent="0.25">
      <c r="C156" s="320"/>
    </row>
    <row r="157" ht="14.25" customHeight="1" spans="3:3" x14ac:dyDescent="0.25">
      <c r="C157" s="320"/>
    </row>
    <row r="158" ht="14.25" customHeight="1" spans="3:3" x14ac:dyDescent="0.25">
      <c r="C158" s="320"/>
    </row>
    <row r="159" ht="14.25" customHeight="1" spans="3:3" x14ac:dyDescent="0.25">
      <c r="C159" s="320"/>
    </row>
    <row r="160" ht="14.25" customHeight="1" spans="3:3" x14ac:dyDescent="0.25">
      <c r="C160" s="320"/>
    </row>
    <row r="161" ht="14.25" customHeight="1" spans="3:3" x14ac:dyDescent="0.25">
      <c r="C161" s="320"/>
    </row>
    <row r="162" ht="14.25" customHeight="1" spans="3:3" x14ac:dyDescent="0.25">
      <c r="C162" s="320"/>
    </row>
    <row r="163" ht="14.25" customHeight="1" spans="3:3" x14ac:dyDescent="0.25">
      <c r="C163" s="320"/>
    </row>
    <row r="164" ht="14.25" customHeight="1" spans="3:3" x14ac:dyDescent="0.25">
      <c r="C164" s="320"/>
    </row>
    <row r="165" ht="14.25" customHeight="1" spans="3:3" x14ac:dyDescent="0.25">
      <c r="C165" s="320"/>
    </row>
    <row r="166" ht="14.25" customHeight="1" spans="3:3" x14ac:dyDescent="0.25">
      <c r="C166" s="320"/>
    </row>
    <row r="167" ht="14.25" customHeight="1" spans="3:3" x14ac:dyDescent="0.25">
      <c r="C167" s="320"/>
    </row>
    <row r="168" ht="14.25" customHeight="1" spans="3:3" x14ac:dyDescent="0.25">
      <c r="C168" s="320"/>
    </row>
    <row r="169" ht="14.25" customHeight="1" spans="3:3" x14ac:dyDescent="0.25">
      <c r="C169" s="320"/>
    </row>
    <row r="170" ht="14.25" customHeight="1" spans="3:3" x14ac:dyDescent="0.25">
      <c r="C170" s="320"/>
    </row>
    <row r="171" ht="14.25" customHeight="1" spans="3:3" x14ac:dyDescent="0.25">
      <c r="C171" s="320"/>
    </row>
    <row r="172" ht="14.25" customHeight="1" spans="3:3" x14ac:dyDescent="0.25">
      <c r="C172" s="320"/>
    </row>
    <row r="173" ht="14.25" customHeight="1" spans="3:3" x14ac:dyDescent="0.25">
      <c r="C173" s="320"/>
    </row>
    <row r="174" ht="14.25" customHeight="1" spans="3:3" x14ac:dyDescent="0.25">
      <c r="C174" s="320"/>
    </row>
    <row r="175" ht="14.25" customHeight="1" spans="3:3" x14ac:dyDescent="0.25">
      <c r="C175" s="320"/>
    </row>
    <row r="176" ht="14.25" customHeight="1" spans="3:3" x14ac:dyDescent="0.25">
      <c r="C176" s="320"/>
    </row>
    <row r="177" ht="14.25" customHeight="1" spans="3:3" x14ac:dyDescent="0.25">
      <c r="C177" s="320"/>
    </row>
    <row r="178" ht="14.25" customHeight="1" spans="3:3" x14ac:dyDescent="0.25">
      <c r="C178" s="320"/>
    </row>
    <row r="179" ht="14.25" customHeight="1" spans="3:3" x14ac:dyDescent="0.25">
      <c r="C179" s="320"/>
    </row>
    <row r="180" ht="14.25" customHeight="1" spans="3:3" x14ac:dyDescent="0.25">
      <c r="C180" s="320"/>
    </row>
    <row r="181" ht="14.25" customHeight="1" spans="3:3" x14ac:dyDescent="0.25">
      <c r="C181" s="320"/>
    </row>
    <row r="182" ht="14.25" customHeight="1" spans="3:3" x14ac:dyDescent="0.25">
      <c r="C182" s="320"/>
    </row>
    <row r="183" ht="14.25" customHeight="1" spans="3:3" x14ac:dyDescent="0.25">
      <c r="C183" s="320"/>
    </row>
    <row r="184" ht="14.25" customHeight="1" spans="3:3" x14ac:dyDescent="0.25">
      <c r="C184" s="320"/>
    </row>
    <row r="185" ht="14.25" customHeight="1" spans="3:3" x14ac:dyDescent="0.25">
      <c r="C185" s="320"/>
    </row>
    <row r="186" ht="14.25" customHeight="1" spans="3:3" x14ac:dyDescent="0.25">
      <c r="C186" s="320"/>
    </row>
    <row r="187" ht="14.25" customHeight="1" spans="3:3" x14ac:dyDescent="0.25">
      <c r="C187" s="320"/>
    </row>
    <row r="188" ht="14.25" customHeight="1" spans="3:3" x14ac:dyDescent="0.25">
      <c r="C188" s="320"/>
    </row>
    <row r="189" ht="14.25" customHeight="1" spans="3:3" x14ac:dyDescent="0.25">
      <c r="C189" s="320"/>
    </row>
    <row r="190" ht="14.25" customHeight="1" spans="3:3" x14ac:dyDescent="0.25">
      <c r="C190" s="320"/>
    </row>
    <row r="191" ht="14.25" customHeight="1" spans="3:3" x14ac:dyDescent="0.25">
      <c r="C191" s="320"/>
    </row>
    <row r="192" ht="14.25" customHeight="1" spans="3:3" x14ac:dyDescent="0.25">
      <c r="C192" s="320"/>
    </row>
    <row r="193" ht="14.25" customHeight="1" spans="3:3" x14ac:dyDescent="0.25">
      <c r="C193" s="320"/>
    </row>
    <row r="194" ht="14.25" customHeight="1" spans="3:3" x14ac:dyDescent="0.25">
      <c r="C194" s="320"/>
    </row>
    <row r="195" ht="14.25" customHeight="1" spans="3:3" x14ac:dyDescent="0.25">
      <c r="C195" s="320"/>
    </row>
    <row r="196" ht="14.25" customHeight="1" spans="3:3" x14ac:dyDescent="0.25">
      <c r="C196" s="320"/>
    </row>
    <row r="197" ht="14.25" customHeight="1" spans="3:3" x14ac:dyDescent="0.25">
      <c r="C197" s="320"/>
    </row>
    <row r="198" ht="14.25" customHeight="1" spans="3:3" x14ac:dyDescent="0.25">
      <c r="C198" s="320"/>
    </row>
    <row r="199" ht="14.25" customHeight="1" spans="3:3" x14ac:dyDescent="0.25">
      <c r="C199" s="320"/>
    </row>
    <row r="200" ht="14.25" customHeight="1" spans="3:3" x14ac:dyDescent="0.25">
      <c r="C200" s="320"/>
    </row>
    <row r="201" ht="14.25" customHeight="1" spans="3:3" x14ac:dyDescent="0.25">
      <c r="C201" s="320"/>
    </row>
    <row r="202" ht="14.25" customHeight="1" spans="3:3" x14ac:dyDescent="0.25">
      <c r="C202" s="320"/>
    </row>
    <row r="203" ht="14.25" customHeight="1" spans="3:3" x14ac:dyDescent="0.25">
      <c r="C203" s="320"/>
    </row>
    <row r="204" ht="14.25" customHeight="1" spans="3:3" x14ac:dyDescent="0.25">
      <c r="C204" s="320"/>
    </row>
    <row r="205" ht="14.25" customHeight="1" spans="3:3" x14ac:dyDescent="0.25">
      <c r="C205" s="320"/>
    </row>
    <row r="206" ht="14.25" customHeight="1" spans="3:3" x14ac:dyDescent="0.25">
      <c r="C206" s="320"/>
    </row>
    <row r="207" ht="14.25" customHeight="1" spans="3:3" x14ac:dyDescent="0.25">
      <c r="C207" s="320"/>
    </row>
    <row r="208" ht="14.25" customHeight="1" spans="3:3" x14ac:dyDescent="0.25">
      <c r="C208" s="320"/>
    </row>
    <row r="209" ht="14.25" customHeight="1" spans="3:3" x14ac:dyDescent="0.25">
      <c r="C209" s="320"/>
    </row>
    <row r="210" ht="14.25" customHeight="1" spans="3:3" x14ac:dyDescent="0.25">
      <c r="C210" s="320"/>
    </row>
    <row r="211" ht="14.25" customHeight="1" spans="3:3" x14ac:dyDescent="0.25">
      <c r="C211" s="320"/>
    </row>
    <row r="212" ht="14.25" customHeight="1" spans="3:3" x14ac:dyDescent="0.25">
      <c r="C212" s="320"/>
    </row>
    <row r="213" ht="14.25" customHeight="1" spans="3:3" x14ac:dyDescent="0.25">
      <c r="C213" s="320"/>
    </row>
    <row r="214" ht="14.25" customHeight="1" spans="3:3" x14ac:dyDescent="0.25">
      <c r="C214" s="320"/>
    </row>
    <row r="215" ht="14.25" customHeight="1" spans="3:3" x14ac:dyDescent="0.25">
      <c r="C215" s="320"/>
    </row>
    <row r="216" ht="14.25" customHeight="1" spans="3:3" x14ac:dyDescent="0.25">
      <c r="C216" s="320"/>
    </row>
    <row r="217" ht="14.25" customHeight="1" spans="3:3" x14ac:dyDescent="0.25">
      <c r="C217" s="320"/>
    </row>
    <row r="218" ht="14.25" customHeight="1" spans="3:3" x14ac:dyDescent="0.25">
      <c r="C218" s="320"/>
    </row>
    <row r="219" ht="14.25" customHeight="1" spans="3:3" x14ac:dyDescent="0.25">
      <c r="C219" s="320"/>
    </row>
    <row r="220" ht="14.25" customHeight="1" spans="3:3" x14ac:dyDescent="0.25">
      <c r="C220" s="320"/>
    </row>
    <row r="221" ht="14.25" customHeight="1" spans="3:3" x14ac:dyDescent="0.25">
      <c r="C221" s="320"/>
    </row>
    <row r="222" ht="14.25" customHeight="1" spans="3:3" x14ac:dyDescent="0.25">
      <c r="C222" s="320"/>
    </row>
    <row r="223" ht="14.25" customHeight="1" spans="3:3" x14ac:dyDescent="0.25">
      <c r="C223" s="320"/>
    </row>
    <row r="224" ht="14.25" customHeight="1" spans="3:3" x14ac:dyDescent="0.25">
      <c r="C224" s="320"/>
    </row>
    <row r="225" ht="14.25" customHeight="1" spans="3:3" x14ac:dyDescent="0.25">
      <c r="C225" s="320"/>
    </row>
    <row r="226" ht="14.25" customHeight="1" spans="3:3" x14ac:dyDescent="0.25">
      <c r="C226" s="320"/>
    </row>
    <row r="227" ht="14.25" customHeight="1" spans="3:3" x14ac:dyDescent="0.25">
      <c r="C227" s="320"/>
    </row>
    <row r="228" ht="14.25" customHeight="1" spans="3:3" x14ac:dyDescent="0.25">
      <c r="C228" s="320"/>
    </row>
    <row r="229" ht="14.25" customHeight="1" spans="3:3" x14ac:dyDescent="0.25">
      <c r="C229" s="320"/>
    </row>
    <row r="230" ht="14.25" customHeight="1" spans="3:3" x14ac:dyDescent="0.25">
      <c r="C230" s="320"/>
    </row>
    <row r="231" ht="14.25" customHeight="1" spans="3:3" x14ac:dyDescent="0.25">
      <c r="C231" s="320"/>
    </row>
    <row r="232" ht="14.25" customHeight="1" spans="3:3" x14ac:dyDescent="0.25">
      <c r="C232" s="320"/>
    </row>
    <row r="233" ht="14.25" customHeight="1" spans="3:3" x14ac:dyDescent="0.25">
      <c r="C233" s="320"/>
    </row>
    <row r="234" ht="14.25" customHeight="1" spans="3:3" x14ac:dyDescent="0.25">
      <c r="C234" s="320"/>
    </row>
    <row r="235" ht="14.25" customHeight="1" spans="3:3" x14ac:dyDescent="0.25">
      <c r="C235" s="320"/>
    </row>
    <row r="236" ht="14.25" customHeight="1" spans="3:3" x14ac:dyDescent="0.25">
      <c r="C236" s="320"/>
    </row>
    <row r="237" ht="14.25" customHeight="1" spans="3:3" x14ac:dyDescent="0.25">
      <c r="C237" s="320"/>
    </row>
    <row r="238" ht="14.25" customHeight="1" spans="3:3" x14ac:dyDescent="0.25">
      <c r="C238" s="320"/>
    </row>
    <row r="239" ht="14.25" customHeight="1" spans="3:3" x14ac:dyDescent="0.25">
      <c r="C239" s="320"/>
    </row>
    <row r="240" ht="14.25" customHeight="1" spans="3:3" x14ac:dyDescent="0.25">
      <c r="C240" s="320"/>
    </row>
    <row r="241" ht="14.25" customHeight="1" spans="3:3" x14ac:dyDescent="0.25">
      <c r="C241" s="320"/>
    </row>
    <row r="242" ht="14.25" customHeight="1" spans="3:3" x14ac:dyDescent="0.25">
      <c r="C242" s="320"/>
    </row>
    <row r="243" ht="14.25" customHeight="1" spans="3:3" x14ac:dyDescent="0.25">
      <c r="C243" s="320"/>
    </row>
    <row r="244" ht="14.25" customHeight="1" spans="3:3" x14ac:dyDescent="0.25">
      <c r="C244" s="320"/>
    </row>
    <row r="245" ht="14.25" customHeight="1" spans="3:3" x14ac:dyDescent="0.25">
      <c r="C245" s="320"/>
    </row>
    <row r="246" ht="14.25" customHeight="1" spans="3:3" x14ac:dyDescent="0.25">
      <c r="C246" s="320"/>
    </row>
    <row r="247" ht="14.25" customHeight="1" spans="3:3" x14ac:dyDescent="0.25">
      <c r="C247" s="320"/>
    </row>
    <row r="248" ht="14.25" customHeight="1" spans="3:3" x14ac:dyDescent="0.25">
      <c r="C248" s="320"/>
    </row>
    <row r="249" ht="14.25" customHeight="1" spans="3:3" x14ac:dyDescent="0.25">
      <c r="C249" s="320"/>
    </row>
    <row r="250" ht="14.25" customHeight="1" spans="3:3" x14ac:dyDescent="0.25">
      <c r="C250" s="320"/>
    </row>
    <row r="251" ht="14.25" customHeight="1" spans="3:3" x14ac:dyDescent="0.25">
      <c r="C251" s="320"/>
    </row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13">
    <mergeCell ref="A1:B1"/>
    <mergeCell ref="A5:B5"/>
    <mergeCell ref="B12:B14"/>
    <mergeCell ref="B15:B17"/>
    <mergeCell ref="B18:B20"/>
    <mergeCell ref="B23:B25"/>
    <mergeCell ref="B26:B28"/>
    <mergeCell ref="A45:B45"/>
    <mergeCell ref="A46:B46"/>
    <mergeCell ref="A47:B47"/>
    <mergeCell ref="A49:B49"/>
    <mergeCell ref="A50:B50"/>
    <mergeCell ref="A51:B51"/>
  </mergeCells>
  <pageMargins left="0.7" right="0.7" top="0.75" bottom="0.75" header="0.3" footer="0.3"/>
  <pageSetup paperSize="8" orientation="landscape" horizontalDpi="4294967295" verticalDpi="4294967295" scale="75" fitToWidth="0" fitToHeight="1" firstPageNumber="1" useFirstPageNumber="1" copies="1"/>
  <headerFooter>
    <oddHeader>&amp;L004280 QUARTERLY FINANCIAL INFORMATION</oddHeader>
    <oddFooter>&amp;C 12_TEM_FinancialInformation_V1.0_20191023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9"/>
  <sheetViews>
    <sheetView workbookViewId="0" zoomScale="100" zoomScaleNormal="100">
      <selection activeCell="A2" sqref="A2"/>
    </sheetView>
  </sheetViews>
  <sheetFormatPr defaultRowHeight="15" outlineLevelRow="0" outlineLevelCol="0" x14ac:dyDescent="0.3" defaultColWidth="14.453125"/>
  <cols>
    <col min="1" max="1" width="61.1796875" style="227" customWidth="1"/>
    <col min="2" max="2" width="23" style="227" customWidth="1"/>
    <col min="3" max="3" width="22" style="227" customWidth="1"/>
    <col min="4" max="6" width="8.7265625" style="227" customWidth="1"/>
    <col min="7" max="16384" width="14.453125" style="227" customWidth="1"/>
  </cols>
  <sheetData>
    <row r="1" ht="14" customHeight="1" spans="1:3" x14ac:dyDescent="0.25">
      <c r="A1" s="341" t="s">
        <v>238</v>
      </c>
      <c r="B1" s="342"/>
      <c r="C1" s="342"/>
    </row>
    <row r="2" ht="14" customHeight="1" spans="1:3" x14ac:dyDescent="0.25">
      <c r="A2" s="229" t="s">
        <v>239</v>
      </c>
      <c r="B2" s="221"/>
      <c r="C2" s="222"/>
    </row>
    <row r="3" ht="14" customHeight="1" spans="1:3" x14ac:dyDescent="0.25">
      <c r="A3" s="229" t="s">
        <v>240</v>
      </c>
      <c r="B3" s="221"/>
      <c r="C3" s="222"/>
    </row>
    <row r="4" ht="14" customHeight="1" spans="1:3" x14ac:dyDescent="0.25">
      <c r="A4" s="231" t="s">
        <v>241</v>
      </c>
      <c r="B4" s="221"/>
      <c r="C4" s="222"/>
    </row>
    <row r="5" ht="14" customHeight="1" spans="1:3" x14ac:dyDescent="0.25">
      <c r="A5" s="229" t="s">
        <v>181</v>
      </c>
      <c r="B5" s="221"/>
      <c r="C5" s="222"/>
    </row>
    <row r="6" ht="14" customHeight="1" spans="1:3" x14ac:dyDescent="0.25">
      <c r="A6" s="229" t="s">
        <v>182</v>
      </c>
      <c r="B6" s="221"/>
      <c r="C6" s="222"/>
    </row>
    <row r="7" ht="31.5" customHeight="1" spans="1:3" x14ac:dyDescent="0.25">
      <c r="A7" s="238"/>
      <c r="B7" s="241" t="s">
        <v>242</v>
      </c>
      <c r="C7" s="241" t="s">
        <v>242</v>
      </c>
    </row>
    <row r="8" ht="31.5" customHeight="1" spans="1:3" x14ac:dyDescent="0.25">
      <c r="A8" s="238" t="s">
        <v>243</v>
      </c>
      <c r="B8" s="343"/>
      <c r="C8" s="344">
        <v>300000</v>
      </c>
    </row>
    <row r="9" ht="31.5" customHeight="1" spans="1:3" x14ac:dyDescent="0.25">
      <c r="A9" s="238" t="s">
        <v>244</v>
      </c>
      <c r="B9" s="343"/>
      <c r="C9" s="344">
        <f>'Quarterly financial'!C203-15499</f>
      </c>
    </row>
    <row r="10" ht="14" customHeight="1" spans="1:3" x14ac:dyDescent="0.25">
      <c r="A10" s="238" t="s">
        <v>245</v>
      </c>
      <c r="B10" s="345"/>
      <c r="C10" s="344">
        <f>C8-C9</f>
      </c>
    </row>
    <row r="11" ht="18" customHeight="1" spans="1:3" x14ac:dyDescent="0.25">
      <c r="A11" s="246" t="s">
        <v>246</v>
      </c>
      <c r="B11" s="346"/>
      <c r="C11" s="344"/>
    </row>
    <row r="12" ht="19.5" customHeight="1" spans="1:3" x14ac:dyDescent="0.25">
      <c r="A12" s="347" t="s">
        <v>247</v>
      </c>
      <c r="B12" s="348"/>
      <c r="C12" s="349"/>
    </row>
    <row r="13" ht="19.5" customHeight="1" spans="1:3" x14ac:dyDescent="0.25">
      <c r="A13" s="238" t="s">
        <v>248</v>
      </c>
      <c r="B13" s="348"/>
      <c r="C13" s="349">
        <f>C10</f>
      </c>
    </row>
    <row r="14" ht="50.25" customHeight="1" spans="1:3" x14ac:dyDescent="0.25">
      <c r="A14" s="246" t="s">
        <v>249</v>
      </c>
      <c r="B14" s="348"/>
      <c r="C14" s="350"/>
    </row>
    <row r="15" ht="14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6">
    <mergeCell ref="A1:C1"/>
    <mergeCell ref="A2:C2"/>
    <mergeCell ref="A3:C3"/>
    <mergeCell ref="A4:C4"/>
    <mergeCell ref="A5:C5"/>
    <mergeCell ref="A6:C6"/>
  </mergeCells>
  <pageMargins left="0.7" right="0.7" top="2.3541666666666665" bottom="0.75" header="0" footer="0"/>
  <pageSetup paperSize="9" orientation="landscape" horizontalDpi="4294967295" verticalDpi="4294967295" scale="100" fitToWidth="1" fitToHeight="1" firstPageNumber="1" useFirstPageNumber="1" copies="1"/>
  <headerFooter>
    <oddHeader>&amp;L004280 BANK CASH RECONCILIATION</oddHeader>
    <oddFooter>&amp;C 13_TEM_FinancialInformation_V1.0_20180131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76"/>
  <sheetViews>
    <sheetView workbookViewId="0" zoomScale="100" zoomScaleNormal="100">
      <selection activeCell="F56" sqref="F56"/>
    </sheetView>
  </sheetViews>
  <sheetFormatPr defaultRowHeight="15" outlineLevelRow="0" outlineLevelCol="0" x14ac:dyDescent="0.35" defaultColWidth="14.453125"/>
  <cols>
    <col min="1" max="1" width="43.1796875" customWidth="1"/>
    <col min="2" max="2" width="23.1796875" customWidth="1"/>
    <col min="3" max="3" width="26.81640625" customWidth="1"/>
    <col min="4" max="4" width="28.453125" customWidth="1"/>
    <col min="5" max="5" width="28.26953125" style="351" customWidth="1"/>
  </cols>
  <sheetData>
    <row r="1" ht="18" customHeight="1" spans="1:5" x14ac:dyDescent="0.25">
      <c r="A1" s="352"/>
      <c r="B1" s="353"/>
      <c r="C1" s="353"/>
      <c r="D1" s="353"/>
      <c r="E1" s="354"/>
    </row>
    <row r="2" ht="14.5" customHeight="1" spans="1:5" x14ac:dyDescent="0.25">
      <c r="A2" s="355"/>
      <c r="B2" s="356" t="s">
        <v>250</v>
      </c>
      <c r="C2" s="356" t="s">
        <v>251</v>
      </c>
      <c r="D2" s="356" t="s">
        <v>186</v>
      </c>
      <c r="E2" s="357" t="s">
        <v>187</v>
      </c>
    </row>
    <row r="3" ht="14.5" customHeight="1" spans="1:5" x14ac:dyDescent="0.25">
      <c r="A3" s="358"/>
      <c r="B3" s="358"/>
      <c r="C3" s="358"/>
      <c r="D3" s="358"/>
      <c r="E3" s="359"/>
    </row>
    <row r="4" ht="28" customHeight="1" spans="1:5" x14ac:dyDescent="0.25">
      <c r="A4" s="238" t="s">
        <v>190</v>
      </c>
      <c r="B4" s="243"/>
      <c r="C4" s="243"/>
      <c r="D4" s="244" t="s">
        <v>252</v>
      </c>
      <c r="E4" s="360" t="s">
        <v>253</v>
      </c>
    </row>
    <row r="5" ht="14.5" customHeight="1" spans="1:5" x14ac:dyDescent="0.25">
      <c r="A5" s="247" t="s">
        <v>254</v>
      </c>
      <c r="B5" s="361">
        <f>'Quarterly financial'!B11</f>
      </c>
      <c r="C5" s="361">
        <f>SUM('Quarterly financial'!C11)</f>
      </c>
      <c r="D5" s="361">
        <f t="shared" ref="D5:D15" si="0">C5-B5</f>
      </c>
      <c r="E5" s="362">
        <f>D5/B5</f>
      </c>
    </row>
    <row r="6" ht="14.5" customHeight="1" spans="1:7" x14ac:dyDescent="0.25">
      <c r="A6" s="247" t="s">
        <v>255</v>
      </c>
      <c r="B6" s="248">
        <v>0</v>
      </c>
      <c r="C6" s="248">
        <v>0</v>
      </c>
      <c r="D6" s="248">
        <f t="shared" si="0"/>
        <v>0</v>
      </c>
      <c r="E6" s="363"/>
      <c r="G6" s="364"/>
    </row>
    <row r="7" ht="14.5" customHeight="1" spans="1:5" x14ac:dyDescent="0.25">
      <c r="A7" s="258" t="s">
        <v>256</v>
      </c>
      <c r="B7" s="248">
        <v>0</v>
      </c>
      <c r="C7" s="248">
        <v>0</v>
      </c>
      <c r="D7" s="248">
        <f t="shared" si="0"/>
        <v>0</v>
      </c>
      <c r="E7" s="363"/>
    </row>
    <row r="8" ht="14.5" customHeight="1" spans="1:5" x14ac:dyDescent="0.25">
      <c r="A8" s="258" t="s">
        <v>257</v>
      </c>
      <c r="B8" s="248">
        <v>0</v>
      </c>
      <c r="C8" s="248">
        <v>0</v>
      </c>
      <c r="D8" s="248">
        <f t="shared" si="0"/>
        <v>0</v>
      </c>
      <c r="E8" s="363"/>
    </row>
    <row r="9" ht="14.5" customHeight="1" spans="1:7" x14ac:dyDescent="0.25">
      <c r="A9" s="258" t="s">
        <v>258</v>
      </c>
      <c r="B9" s="248">
        <v>0</v>
      </c>
      <c r="C9" s="248">
        <v>0</v>
      </c>
      <c r="D9" s="248">
        <f t="shared" si="0"/>
        <v>0</v>
      </c>
      <c r="E9" s="363"/>
      <c r="G9" s="364"/>
    </row>
    <row r="10" ht="14.5" customHeight="1" spans="1:5" x14ac:dyDescent="0.25">
      <c r="A10" s="258" t="s">
        <v>259</v>
      </c>
      <c r="B10" s="248">
        <v>0</v>
      </c>
      <c r="C10" s="248">
        <v>0</v>
      </c>
      <c r="D10" s="248">
        <f t="shared" si="0"/>
        <v>0</v>
      </c>
      <c r="E10" s="363"/>
    </row>
    <row r="11" ht="14.5" customHeight="1" spans="1:5" x14ac:dyDescent="0.25">
      <c r="A11" s="247" t="s">
        <v>260</v>
      </c>
      <c r="B11" s="248">
        <v>0</v>
      </c>
      <c r="C11" s="248">
        <v>0</v>
      </c>
      <c r="D11" s="248">
        <f t="shared" si="0"/>
        <v>0</v>
      </c>
      <c r="E11" s="363"/>
    </row>
    <row r="12" ht="14.5" customHeight="1" spans="1:5" x14ac:dyDescent="0.25">
      <c r="A12" s="258" t="s">
        <v>200</v>
      </c>
      <c r="B12" s="248">
        <v>0</v>
      </c>
      <c r="C12" s="248">
        <v>0</v>
      </c>
      <c r="D12" s="248">
        <f t="shared" si="0"/>
        <v>0</v>
      </c>
      <c r="E12" s="363"/>
    </row>
    <row r="13" ht="14.5" customHeight="1" spans="1:5" x14ac:dyDescent="0.25">
      <c r="A13" s="258" t="s">
        <v>201</v>
      </c>
      <c r="B13" s="248">
        <v>0</v>
      </c>
      <c r="C13" s="248">
        <v>0</v>
      </c>
      <c r="D13" s="248">
        <f t="shared" si="0"/>
        <v>0</v>
      </c>
      <c r="E13" s="363"/>
    </row>
    <row r="14" ht="14.5" customHeight="1" spans="1:5" x14ac:dyDescent="0.25">
      <c r="A14" s="258" t="s">
        <v>202</v>
      </c>
      <c r="B14" s="248">
        <v>0</v>
      </c>
      <c r="C14" s="248">
        <v>0</v>
      </c>
      <c r="D14" s="248">
        <f t="shared" si="0"/>
        <v>0</v>
      </c>
      <c r="E14" s="363"/>
    </row>
    <row r="15" ht="14.5" customHeight="1" spans="1:5" x14ac:dyDescent="0.25">
      <c r="A15" s="365" t="s">
        <v>261</v>
      </c>
      <c r="B15" s="361">
        <f>SUM(B5:B14)</f>
      </c>
      <c r="C15" s="361">
        <f>SUM('Quarterly financial'!C16)</f>
      </c>
      <c r="D15" s="361">
        <f t="shared" si="0"/>
        <v>-640174.61</v>
      </c>
      <c r="E15" s="362">
        <f>D15/B15</f>
      </c>
    </row>
    <row r="16" ht="28" customHeight="1" spans="1:5" x14ac:dyDescent="0.25">
      <c r="A16" s="365" t="s">
        <v>262</v>
      </c>
      <c r="B16" s="366">
        <f>SUM('Quarterly financial'!B17)</f>
      </c>
      <c r="C16" s="366">
        <f>SUM('Quarterly financial'!C17)</f>
      </c>
      <c r="D16" s="367" t="s">
        <v>263</v>
      </c>
      <c r="E16" s="368" t="s">
        <v>264</v>
      </c>
    </row>
    <row r="17" ht="14.5" customHeight="1" spans="1:5" x14ac:dyDescent="0.25">
      <c r="A17" s="334" t="s">
        <v>265</v>
      </c>
      <c r="B17" s="248">
        <f>'Quarterly financial'!B18</f>
      </c>
      <c r="C17" s="248">
        <f>'Quarterly financial'!C18</f>
      </c>
      <c r="D17" s="248">
        <f t="shared" ref="D17:D19" si="1">B17-C17</f>
      </c>
      <c r="E17" s="363">
        <f>D17/C17</f>
      </c>
    </row>
    <row r="18" ht="14.5" customHeight="1" spans="1:5" x14ac:dyDescent="0.25">
      <c r="A18" s="332" t="s">
        <v>266</v>
      </c>
      <c r="B18" s="248">
        <v>0</v>
      </c>
      <c r="C18" s="248">
        <v>0</v>
      </c>
      <c r="D18" s="248">
        <f t="shared" si="1"/>
        <v>0</v>
      </c>
      <c r="E18" s="363">
        <v>0</v>
      </c>
    </row>
    <row r="19" ht="28" customHeight="1" spans="1:5" x14ac:dyDescent="0.25">
      <c r="A19" s="285">
        <f>'Quarterly financial'!A19</f>
      </c>
      <c r="B19" s="369">
        <f>'Quarterly financial'!B19</f>
      </c>
      <c r="C19" s="369">
        <f>'Quarterly financial'!C19</f>
      </c>
      <c r="D19" s="248">
        <f t="shared" si="1"/>
        <v>0</v>
      </c>
      <c r="E19" s="363">
        <v>0</v>
      </c>
    </row>
    <row r="20" ht="42" customHeight="1" spans="1:5" x14ac:dyDescent="0.25">
      <c r="A20" s="285">
        <f>'Quarterly financial'!A20</f>
      </c>
      <c r="B20" s="369">
        <f>'Quarterly financial'!B20</f>
      </c>
      <c r="C20" s="369">
        <f>'Quarterly financial'!C20</f>
      </c>
      <c r="D20" s="248">
        <v>0</v>
      </c>
      <c r="E20" s="363">
        <v>0</v>
      </c>
    </row>
    <row r="21" ht="35.25" customHeight="1" spans="1:5" x14ac:dyDescent="0.25">
      <c r="A21" s="285">
        <f>'Quarterly financial'!A21</f>
      </c>
      <c r="B21" s="369">
        <f>'Quarterly financial'!B21</f>
      </c>
      <c r="C21" s="369">
        <f>'Quarterly financial'!C21</f>
      </c>
      <c r="D21" s="248">
        <v>0</v>
      </c>
      <c r="E21" s="363">
        <v>0</v>
      </c>
    </row>
    <row r="22" ht="32.25" customHeight="1" spans="1:5" x14ac:dyDescent="0.25">
      <c r="A22" s="285">
        <f>'Quarterly financial'!A22</f>
      </c>
      <c r="B22" s="369">
        <f>'Quarterly financial'!B22</f>
      </c>
      <c r="C22" s="369">
        <f>'Quarterly financial'!C22</f>
      </c>
      <c r="D22" s="248">
        <v>0</v>
      </c>
      <c r="E22" s="363">
        <v>0</v>
      </c>
    </row>
    <row r="23" ht="33.75" customHeight="1" spans="1:5" x14ac:dyDescent="0.25">
      <c r="A23" s="285">
        <f>'Quarterly financial'!A23</f>
      </c>
      <c r="B23" s="369">
        <f>'Quarterly financial'!B23</f>
      </c>
      <c r="C23" s="369">
        <f>'Quarterly financial'!C23</f>
      </c>
      <c r="D23" s="248">
        <v>0</v>
      </c>
      <c r="E23" s="363">
        <v>0</v>
      </c>
    </row>
    <row r="24" ht="26.25" customHeight="1" spans="1:5" x14ac:dyDescent="0.25">
      <c r="A24" s="370">
        <f>'Quarterly financial'!A24</f>
      </c>
      <c r="B24" s="369">
        <f>'Quarterly financial'!B24</f>
      </c>
      <c r="C24" s="369">
        <f>'Quarterly financial'!C24</f>
      </c>
      <c r="D24" s="248">
        <v>0</v>
      </c>
      <c r="E24" s="363">
        <v>0</v>
      </c>
    </row>
    <row r="25" ht="33.75" customHeight="1" spans="1:5" x14ac:dyDescent="0.25">
      <c r="A25" s="285">
        <f>'Quarterly financial'!A25</f>
      </c>
      <c r="B25" s="369">
        <f>'Quarterly financial'!B25</f>
      </c>
      <c r="C25" s="369">
        <f>'Quarterly financial'!C25</f>
      </c>
      <c r="D25" s="248">
        <v>0</v>
      </c>
      <c r="E25" s="363">
        <v>0</v>
      </c>
    </row>
    <row r="26" ht="36.75" customHeight="1" spans="1:5" x14ac:dyDescent="0.25">
      <c r="A26" s="285">
        <f>'Quarterly financial'!A26</f>
      </c>
      <c r="B26" s="369">
        <f>'Quarterly financial'!B26</f>
      </c>
      <c r="C26" s="369">
        <f>'Quarterly financial'!C26</f>
      </c>
      <c r="D26" s="248">
        <v>0</v>
      </c>
      <c r="E26" s="363">
        <v>0</v>
      </c>
    </row>
    <row r="27" ht="46.5" customHeight="1" spans="1:5" x14ac:dyDescent="0.25">
      <c r="A27" s="285">
        <f>'Quarterly financial'!A27</f>
      </c>
      <c r="B27" s="369">
        <f>'Quarterly financial'!B27</f>
      </c>
      <c r="C27" s="369">
        <f>'Quarterly financial'!C27</f>
      </c>
      <c r="D27" s="248">
        <v>0</v>
      </c>
      <c r="E27" s="363">
        <v>0</v>
      </c>
    </row>
    <row r="28" ht="27.75" customHeight="1" spans="1:5" x14ac:dyDescent="0.25">
      <c r="A28" s="285">
        <f>'Quarterly financial'!A28</f>
      </c>
      <c r="B28" s="369">
        <f>'Quarterly financial'!B28</f>
      </c>
      <c r="C28" s="369">
        <f>'Quarterly financial'!C28</f>
      </c>
      <c r="D28" s="248">
        <f>B28-C28</f>
      </c>
      <c r="E28" s="363">
        <f>D28/C28</f>
      </c>
    </row>
    <row r="29" ht="30.75" customHeight="1" spans="1:5" x14ac:dyDescent="0.25">
      <c r="A29" s="285">
        <f>'Quarterly financial'!A29</f>
      </c>
      <c r="B29" s="369">
        <f>'Quarterly financial'!B29</f>
      </c>
      <c r="C29" s="369">
        <f>'Quarterly financial'!C29</f>
      </c>
      <c r="D29" s="248">
        <v>0</v>
      </c>
      <c r="E29" s="363">
        <v>0</v>
      </c>
    </row>
    <row r="30" ht="41.25" customHeight="1" spans="1:5" x14ac:dyDescent="0.25">
      <c r="A30" s="285">
        <f>'Quarterly financial'!A30</f>
      </c>
      <c r="B30" s="369">
        <f>'Quarterly financial'!B30</f>
      </c>
      <c r="C30" s="369">
        <f>'Quarterly financial'!C30</f>
      </c>
      <c r="D30" s="248">
        <f>B30-C30</f>
      </c>
      <c r="E30" s="363">
        <v>0</v>
      </c>
    </row>
    <row r="31" ht="33.75" customHeight="1" spans="1:5" x14ac:dyDescent="0.25">
      <c r="A31" s="285">
        <f>'Quarterly financial'!A31</f>
      </c>
      <c r="B31" s="369">
        <f>'Quarterly financial'!B31</f>
      </c>
      <c r="C31" s="369">
        <f>'Quarterly financial'!C31</f>
      </c>
      <c r="D31" s="248">
        <f>B31-C31</f>
      </c>
      <c r="E31" s="363">
        <f>D31/C31</f>
      </c>
    </row>
    <row r="32" ht="34.5" customHeight="1" spans="1:5" x14ac:dyDescent="0.25">
      <c r="A32" s="285">
        <f>'Quarterly financial'!A32</f>
      </c>
      <c r="B32" s="369">
        <f>'Quarterly financial'!B32</f>
      </c>
      <c r="C32" s="369">
        <f>'Quarterly financial'!C32</f>
      </c>
      <c r="D32" s="248">
        <v>0</v>
      </c>
      <c r="E32" s="363">
        <v>0</v>
      </c>
    </row>
    <row r="33" ht="36" customHeight="1" spans="1:5" x14ac:dyDescent="0.25">
      <c r="A33" s="285">
        <f>'Quarterly financial'!A33</f>
      </c>
      <c r="B33" s="369">
        <f>'Quarterly financial'!B33</f>
      </c>
      <c r="C33" s="369">
        <f>'Quarterly financial'!C33</f>
      </c>
      <c r="D33" s="248">
        <v>0</v>
      </c>
      <c r="E33" s="363">
        <v>0</v>
      </c>
    </row>
    <row r="34" ht="41.25" customHeight="1" spans="1:5" x14ac:dyDescent="0.25">
      <c r="A34" s="285">
        <f>'Quarterly financial'!A34</f>
      </c>
      <c r="B34" s="369">
        <f>'Quarterly financial'!B34</f>
      </c>
      <c r="C34" s="369">
        <f>'Quarterly financial'!C34</f>
      </c>
      <c r="D34" s="248">
        <f>B34-C34</f>
      </c>
      <c r="E34" s="363">
        <f>D34/C34</f>
      </c>
    </row>
    <row r="35" ht="30" customHeight="1" spans="1:5" x14ac:dyDescent="0.25">
      <c r="A35" s="285">
        <f>'Quarterly financial'!A35</f>
      </c>
      <c r="B35" s="369">
        <f>'Quarterly financial'!B35</f>
      </c>
      <c r="C35" s="369">
        <f>'Quarterly financial'!C35</f>
      </c>
      <c r="D35" s="248">
        <v>0</v>
      </c>
      <c r="E35" s="363">
        <v>0</v>
      </c>
    </row>
    <row r="36" ht="33.75" customHeight="1" spans="1:5" x14ac:dyDescent="0.25">
      <c r="A36" s="285">
        <f>'Quarterly financial'!A41</f>
      </c>
      <c r="B36" s="369">
        <f>'Quarterly financial'!B41</f>
      </c>
      <c r="C36" s="369">
        <f>'Quarterly financial'!C41</f>
      </c>
      <c r="D36" s="248">
        <v>0</v>
      </c>
      <c r="E36" s="363">
        <v>0</v>
      </c>
    </row>
    <row r="37" ht="15.75" customHeight="1" spans="1:5" x14ac:dyDescent="0.25">
      <c r="A37" s="371" t="s">
        <v>267</v>
      </c>
      <c r="B37" s="361">
        <f>'Quarterly financial'!B79</f>
      </c>
      <c r="C37" s="361">
        <f>'Quarterly financial'!C79</f>
      </c>
      <c r="D37" s="361">
        <f t="shared" ref="D37:D39" si="2">B37-C37</f>
      </c>
      <c r="E37" s="362">
        <f>D37/C37</f>
      </c>
    </row>
    <row r="38" ht="15.75" customHeight="1" spans="1:5" x14ac:dyDescent="0.25">
      <c r="A38" s="332" t="s">
        <v>268</v>
      </c>
      <c r="B38" s="248">
        <v>0</v>
      </c>
      <c r="C38" s="248">
        <v>0</v>
      </c>
      <c r="D38" s="248">
        <f t="shared" si="2"/>
        <v>0</v>
      </c>
      <c r="E38" s="363">
        <v>0</v>
      </c>
    </row>
    <row r="39" ht="15.75" customHeight="1" spans="1:5" x14ac:dyDescent="0.25">
      <c r="A39" s="282" t="s">
        <v>173</v>
      </c>
      <c r="B39" s="248">
        <v>0</v>
      </c>
      <c r="C39" s="248">
        <f>SUM('Quarterly financial'!C80)</f>
      </c>
      <c r="D39" s="248">
        <f t="shared" si="2"/>
        <v>-2717.69</v>
      </c>
      <c r="E39" s="363">
        <v>0</v>
      </c>
    </row>
    <row r="40" ht="15.75" customHeight="1" spans="1:5" x14ac:dyDescent="0.25">
      <c r="A40" s="371" t="s">
        <v>269</v>
      </c>
      <c r="B40" s="361">
        <f>'Quarterly financial'!B120</f>
      </c>
      <c r="C40" s="361">
        <f>'Quarterly financial'!C120</f>
      </c>
      <c r="D40" s="361">
        <f t="shared" ref="D40:D43" si="3">B40-C40</f>
      </c>
      <c r="E40" s="362">
        <f t="shared" ref="E40:E43" si="4">D40/B40</f>
      </c>
    </row>
    <row r="41" ht="22.5" customHeight="1" spans="1:5" x14ac:dyDescent="0.25">
      <c r="A41" s="332" t="s">
        <v>270</v>
      </c>
      <c r="B41" s="248">
        <v>0</v>
      </c>
      <c r="C41" s="248">
        <v>0</v>
      </c>
      <c r="D41" s="248">
        <f t="shared" si="3"/>
        <v>0</v>
      </c>
      <c r="E41" s="363">
        <v>0</v>
      </c>
    </row>
    <row r="42" ht="27" customHeight="1" spans="1:5" x14ac:dyDescent="0.25">
      <c r="A42" s="285">
        <f>'Quarterly financial'!A121</f>
      </c>
      <c r="B42" s="369">
        <f>'Quarterly financial'!B121</f>
      </c>
      <c r="C42" s="369">
        <f>'Quarterly financial'!C121</f>
      </c>
      <c r="D42" s="248">
        <f t="shared" si="3"/>
        <v>339737.13</v>
      </c>
      <c r="E42" s="363">
        <f t="shared" si="4"/>
        <v>0.6705373383544124</v>
      </c>
    </row>
    <row r="43" ht="15.75" customHeight="1" spans="1:5" x14ac:dyDescent="0.25">
      <c r="A43" s="285">
        <f>'Quarterly financial'!A122</f>
      </c>
      <c r="B43" s="369">
        <f>'Quarterly financial'!B122</f>
      </c>
      <c r="C43" s="369">
        <f>'Quarterly financial'!C122</f>
      </c>
      <c r="D43" s="248">
        <f t="shared" si="3"/>
        <v>362155.17</v>
      </c>
      <c r="E43" s="363">
        <f t="shared" si="4"/>
        <v>0.9001311590312574</v>
      </c>
    </row>
    <row r="44" ht="15.75" customHeight="1" spans="1:5" x14ac:dyDescent="0.25">
      <c r="A44" s="371" t="s">
        <v>231</v>
      </c>
      <c r="B44" s="361">
        <f>SUM(B45:B46)</f>
      </c>
      <c r="C44" s="361">
        <f>SUM(C45:C46)</f>
      </c>
      <c r="D44" s="361">
        <f t="shared" ref="D44:D46" si="5">B44-C44</f>
      </c>
      <c r="E44" s="362">
        <v>0</v>
      </c>
    </row>
    <row r="45" ht="15.75" customHeight="1" spans="1:5" x14ac:dyDescent="0.25">
      <c r="A45" s="332" t="s">
        <v>271</v>
      </c>
      <c r="B45" s="248">
        <v>0</v>
      </c>
      <c r="C45" s="248">
        <v>0</v>
      </c>
      <c r="D45" s="248">
        <f t="shared" si="5"/>
        <v>0</v>
      </c>
      <c r="E45" s="363">
        <v>0</v>
      </c>
    </row>
    <row r="46" ht="15.75" customHeight="1" spans="1:5" x14ac:dyDescent="0.25">
      <c r="A46" s="332"/>
      <c r="B46" s="248">
        <v>0</v>
      </c>
      <c r="C46" s="248">
        <v>0</v>
      </c>
      <c r="D46" s="248">
        <f t="shared" si="5"/>
        <v>0</v>
      </c>
      <c r="E46" s="363">
        <v>0</v>
      </c>
    </row>
    <row r="47" ht="15.75" customHeight="1" spans="1:5" x14ac:dyDescent="0.25">
      <c r="A47" s="371" t="s">
        <v>272</v>
      </c>
      <c r="B47" s="361">
        <v>0</v>
      </c>
      <c r="C47" s="361">
        <v>0</v>
      </c>
      <c r="D47" s="361">
        <f t="shared" ref="D47:D48" si="6">B47-C47</f>
      </c>
      <c r="E47" s="362">
        <v>0</v>
      </c>
    </row>
    <row r="48" ht="15.75" customHeight="1" spans="1:5" x14ac:dyDescent="0.25">
      <c r="A48" s="334"/>
      <c r="B48" s="248">
        <v>0</v>
      </c>
      <c r="C48" s="248">
        <v>0</v>
      </c>
      <c r="D48" s="248">
        <f t="shared" si="6"/>
        <v>0</v>
      </c>
      <c r="E48" s="363">
        <v>0</v>
      </c>
    </row>
    <row r="49" ht="15.75" customHeight="1" spans="1:5" x14ac:dyDescent="0.25">
      <c r="A49" s="285"/>
      <c r="B49" s="248">
        <v>0</v>
      </c>
      <c r="C49" s="248">
        <v>0</v>
      </c>
      <c r="D49" s="248">
        <v>0</v>
      </c>
      <c r="E49" s="363">
        <v>0</v>
      </c>
    </row>
    <row r="50" ht="15.75" customHeight="1" spans="1:5" x14ac:dyDescent="0.25">
      <c r="A50" s="285"/>
      <c r="B50" s="248">
        <v>0</v>
      </c>
      <c r="C50" s="248">
        <v>0</v>
      </c>
      <c r="D50" s="248">
        <v>0</v>
      </c>
      <c r="E50" s="363">
        <v>0</v>
      </c>
    </row>
    <row r="51" ht="15.75" customHeight="1" spans="1:5" x14ac:dyDescent="0.25">
      <c r="A51" s="371" t="s">
        <v>273</v>
      </c>
      <c r="B51" s="361">
        <f>SUM(B52:B53)</f>
      </c>
      <c r="C51" s="361">
        <f>SUM(C52:C53)</f>
      </c>
      <c r="D51" s="361">
        <f t="shared" ref="D51:D53" si="7">B51-C51</f>
      </c>
      <c r="E51" s="362">
        <v>0</v>
      </c>
    </row>
    <row r="52" ht="15.75" customHeight="1" spans="1:5" x14ac:dyDescent="0.25">
      <c r="A52" s="334"/>
      <c r="B52" s="248">
        <v>0</v>
      </c>
      <c r="C52" s="248">
        <v>0</v>
      </c>
      <c r="D52" s="248">
        <f t="shared" si="7"/>
        <v>0</v>
      </c>
      <c r="E52" s="363">
        <v>0</v>
      </c>
    </row>
    <row r="53" ht="15.75" customHeight="1" spans="1:5" x14ac:dyDescent="0.25">
      <c r="A53" s="334"/>
      <c r="B53" s="248">
        <v>0</v>
      </c>
      <c r="C53" s="248">
        <v>0</v>
      </c>
      <c r="D53" s="248">
        <f t="shared" si="7"/>
        <v>0</v>
      </c>
      <c r="E53" s="363">
        <v>0</v>
      </c>
    </row>
    <row r="54" ht="15.75" customHeight="1" spans="1:5" x14ac:dyDescent="0.25">
      <c r="A54" s="371" t="s">
        <v>274</v>
      </c>
      <c r="B54" s="361">
        <f>B51+B47+B44+B40+B17</f>
      </c>
      <c r="C54" s="361">
        <f>SUM('Quarterly financial'!C17)</f>
      </c>
      <c r="D54" s="361">
        <f>D51+D47+D44+D40+D17</f>
      </c>
      <c r="E54" s="362">
        <f>D54/B54</f>
      </c>
    </row>
    <row r="55" ht="15.75" customHeight="1" spans="1:5" x14ac:dyDescent="0.25">
      <c r="A55" s="371" t="s">
        <v>275</v>
      </c>
      <c r="B55" s="366"/>
      <c r="C55" s="366"/>
      <c r="D55" s="366"/>
      <c r="E55" s="372"/>
    </row>
    <row r="56" ht="24" customHeight="1" spans="1:5" x14ac:dyDescent="0.25">
      <c r="A56" s="373" t="s">
        <v>276</v>
      </c>
      <c r="B56" s="374"/>
      <c r="C56" s="374"/>
      <c r="D56" s="374"/>
      <c r="E56" s="375"/>
    </row>
    <row r="57" ht="15.75" customHeight="1" spans="1:5" x14ac:dyDescent="0.25">
      <c r="A57" s="370" t="s">
        <v>256</v>
      </c>
      <c r="B57" s="248">
        <v>0</v>
      </c>
      <c r="C57" s="248">
        <v>0</v>
      </c>
      <c r="D57" s="248">
        <f t="shared" ref="D57:D60" si="8">B57-C57</f>
      </c>
      <c r="E57" s="363">
        <v>0</v>
      </c>
    </row>
    <row r="58" ht="15.75" customHeight="1" spans="1:5" x14ac:dyDescent="0.25">
      <c r="A58" s="370" t="s">
        <v>257</v>
      </c>
      <c r="B58" s="248">
        <v>0</v>
      </c>
      <c r="C58" s="248">
        <v>0</v>
      </c>
      <c r="D58" s="248">
        <f t="shared" si="8"/>
        <v>0</v>
      </c>
      <c r="E58" s="363">
        <v>0</v>
      </c>
    </row>
    <row r="59" ht="15.75" customHeight="1" spans="1:5" x14ac:dyDescent="0.25">
      <c r="A59" s="370" t="s">
        <v>258</v>
      </c>
      <c r="B59" s="248">
        <v>0</v>
      </c>
      <c r="C59" s="248">
        <v>0</v>
      </c>
      <c r="D59" s="248">
        <f t="shared" si="8"/>
        <v>0</v>
      </c>
      <c r="E59" s="363">
        <v>0</v>
      </c>
    </row>
    <row r="60" ht="15.75" customHeight="1" spans="1:5" x14ac:dyDescent="0.25">
      <c r="A60" s="370" t="s">
        <v>259</v>
      </c>
      <c r="B60" s="248">
        <v>0</v>
      </c>
      <c r="C60" s="248">
        <v>0</v>
      </c>
      <c r="D60" s="248">
        <f t="shared" si="8"/>
        <v>0</v>
      </c>
      <c r="E60" s="363">
        <v>0</v>
      </c>
    </row>
    <row r="61" ht="15.75" customHeight="1" spans="1:5" x14ac:dyDescent="0.25">
      <c r="A61" s="334" t="s">
        <v>277</v>
      </c>
      <c r="B61" s="248">
        <f t="shared" ref="B61:D61" si="9">B54+B57+B58+B59+B60</f>
      </c>
      <c r="C61" s="248">
        <f t="shared" si="9"/>
        <v>283825.39</v>
      </c>
      <c r="D61" s="248">
        <f t="shared" si="9"/>
        <v>642892.3</v>
      </c>
      <c r="E61" s="363">
        <f>D61/B61</f>
      </c>
    </row>
    <row r="62" ht="15.75" customHeight="1" spans="1:5" x14ac:dyDescent="0.25">
      <c r="A62" s="334" t="s">
        <v>211</v>
      </c>
      <c r="B62" s="376"/>
      <c r="C62" s="377">
        <f>B61-C61</f>
      </c>
      <c r="D62" s="376"/>
      <c r="E62" s="378"/>
    </row>
    <row r="63" ht="15.75" customHeight="1" spans="1:5" x14ac:dyDescent="0.25">
      <c r="A63" s="334" t="s">
        <v>278</v>
      </c>
      <c r="B63" s="358"/>
      <c r="C63" s="358"/>
      <c r="D63" s="358"/>
      <c r="E63" s="359"/>
    </row>
    <row r="64" ht="27.75" customHeight="1" spans="1:5" x14ac:dyDescent="0.25">
      <c r="A64" s="227"/>
      <c r="B64" s="379"/>
      <c r="C64" s="380" t="s">
        <v>279</v>
      </c>
      <c r="D64" s="379"/>
      <c r="E64" s="381"/>
    </row>
    <row r="65" ht="27.75" customHeight="1" spans="1:5" x14ac:dyDescent="0.25">
      <c r="A65" s="227"/>
      <c r="B65" s="379"/>
      <c r="C65" s="227"/>
      <c r="D65" s="379"/>
      <c r="E65" s="381"/>
    </row>
    <row r="66" ht="27.75" customHeight="1" spans="2:4" x14ac:dyDescent="0.25">
      <c r="B66" s="382"/>
      <c r="C66" s="382"/>
      <c r="D66" s="382"/>
    </row>
    <row r="67" ht="15.75" customHeight="1" spans="2:4" x14ac:dyDescent="0.25">
      <c r="B67" s="382"/>
      <c r="C67" s="382"/>
      <c r="D67" s="382"/>
    </row>
    <row r="68" ht="15.75" customHeight="1" spans="2:4" x14ac:dyDescent="0.25">
      <c r="B68" s="382"/>
      <c r="C68" s="382"/>
      <c r="D68" s="382"/>
    </row>
    <row r="69" ht="15.75" customHeight="1" spans="2:4" x14ac:dyDescent="0.25">
      <c r="B69" s="382"/>
      <c r="C69" s="382"/>
      <c r="D69" s="382"/>
    </row>
    <row r="70" ht="15.75" customHeight="1" spans="2:4" x14ac:dyDescent="0.25">
      <c r="B70" s="382"/>
      <c r="C70" s="382"/>
      <c r="D70" s="382"/>
    </row>
    <row r="71" ht="15.75" customHeight="1" spans="2:4" x14ac:dyDescent="0.25">
      <c r="B71" s="382"/>
      <c r="C71" s="382"/>
      <c r="D71" s="382"/>
    </row>
    <row r="72" ht="15.75" customHeight="1" spans="2:4" x14ac:dyDescent="0.25">
      <c r="B72" s="382"/>
      <c r="C72" s="382"/>
      <c r="D72" s="382"/>
    </row>
    <row r="73" ht="15.75" customHeight="1" spans="2:4" x14ac:dyDescent="0.25">
      <c r="B73" s="382"/>
      <c r="C73" s="382"/>
      <c r="D73" s="382"/>
    </row>
    <row r="74" ht="15.75" customHeight="1" spans="2:4" x14ac:dyDescent="0.25">
      <c r="B74" s="382"/>
      <c r="C74" s="382"/>
      <c r="D74" s="382"/>
    </row>
    <row r="75" ht="15.75" customHeight="1" spans="2:4" x14ac:dyDescent="0.25">
      <c r="B75" s="382"/>
      <c r="C75" s="382"/>
      <c r="D75" s="382"/>
    </row>
    <row r="76" ht="15.75" customHeight="1" spans="2:4" x14ac:dyDescent="0.25">
      <c r="B76" s="382"/>
      <c r="C76" s="382"/>
      <c r="D76" s="382"/>
    </row>
    <row r="77" ht="15.75" customHeight="1" spans="2:4" x14ac:dyDescent="0.25">
      <c r="B77" s="382"/>
      <c r="C77" s="382"/>
      <c r="D77" s="382"/>
    </row>
    <row r="78" ht="15.75" customHeight="1" spans="2:4" x14ac:dyDescent="0.25">
      <c r="B78" s="382"/>
      <c r="C78" s="382"/>
      <c r="D78" s="382"/>
    </row>
    <row r="79" ht="15.75" customHeight="1" spans="2:4" x14ac:dyDescent="0.25">
      <c r="B79" s="382"/>
      <c r="C79" s="382"/>
      <c r="D79" s="382"/>
    </row>
    <row r="80" ht="15.75" customHeight="1" spans="2:4" x14ac:dyDescent="0.25">
      <c r="B80" s="382"/>
      <c r="C80" s="382"/>
      <c r="D80" s="382"/>
    </row>
    <row r="81" ht="15.75" customHeight="1" spans="2:4" x14ac:dyDescent="0.25">
      <c r="B81" s="382"/>
      <c r="C81" s="382"/>
      <c r="D81" s="382"/>
    </row>
    <row r="82" ht="15.75" customHeight="1" spans="2:4" x14ac:dyDescent="0.25">
      <c r="B82" s="382"/>
      <c r="C82" s="382"/>
      <c r="D82" s="382"/>
    </row>
    <row r="83" ht="15.75" customHeight="1" spans="2:4" x14ac:dyDescent="0.25">
      <c r="B83" s="382"/>
      <c r="C83" s="382"/>
      <c r="D83" s="382"/>
    </row>
    <row r="84" ht="15.75" customHeight="1" spans="2:4" x14ac:dyDescent="0.25">
      <c r="B84" s="382"/>
      <c r="C84" s="382"/>
      <c r="D84" s="382"/>
    </row>
    <row r="85" ht="15.75" customHeight="1" spans="2:4" x14ac:dyDescent="0.25">
      <c r="B85" s="382"/>
      <c r="C85" s="382"/>
      <c r="D85" s="382"/>
    </row>
    <row r="86" ht="15.75" customHeight="1" spans="2:4" x14ac:dyDescent="0.25">
      <c r="B86" s="382"/>
      <c r="C86" s="382"/>
      <c r="D86" s="382"/>
    </row>
    <row r="87" ht="15.75" customHeight="1" spans="2:4" x14ac:dyDescent="0.25">
      <c r="B87" s="382"/>
      <c r="C87" s="382"/>
      <c r="D87" s="382"/>
    </row>
    <row r="88" ht="15.75" customHeight="1" spans="2:4" x14ac:dyDescent="0.25">
      <c r="B88" s="382"/>
      <c r="C88" s="382"/>
      <c r="D88" s="382"/>
    </row>
    <row r="89" ht="15.75" customHeight="1" spans="2:4" x14ac:dyDescent="0.25">
      <c r="B89" s="382"/>
      <c r="C89" s="382"/>
      <c r="D89" s="382"/>
    </row>
    <row r="90" ht="15.75" customHeight="1" spans="2:4" x14ac:dyDescent="0.25">
      <c r="B90" s="382"/>
      <c r="C90" s="382"/>
      <c r="D90" s="382"/>
    </row>
    <row r="91" ht="15.75" customHeight="1" spans="2:4" x14ac:dyDescent="0.25">
      <c r="B91" s="382"/>
      <c r="C91" s="382"/>
      <c r="D91" s="382"/>
    </row>
    <row r="92" ht="15.75" customHeight="1" spans="2:4" x14ac:dyDescent="0.25">
      <c r="B92" s="382"/>
      <c r="C92" s="382"/>
      <c r="D92" s="382"/>
    </row>
    <row r="93" ht="15.75" customHeight="1" spans="2:4" x14ac:dyDescent="0.25">
      <c r="B93" s="382"/>
      <c r="C93" s="382"/>
      <c r="D93" s="382"/>
    </row>
    <row r="94" ht="15.75" customHeight="1" spans="2:4" x14ac:dyDescent="0.25">
      <c r="B94" s="382"/>
      <c r="C94" s="382"/>
      <c r="D94" s="382"/>
    </row>
    <row r="95" ht="15.75" customHeight="1" spans="2:4" x14ac:dyDescent="0.25">
      <c r="B95" s="382"/>
      <c r="C95" s="382"/>
      <c r="D95" s="382"/>
    </row>
    <row r="96" ht="15.75" customHeight="1" spans="2:4" x14ac:dyDescent="0.25">
      <c r="B96" s="382"/>
      <c r="C96" s="382"/>
      <c r="D96" s="382"/>
    </row>
    <row r="97" ht="15.75" customHeight="1" spans="2:4" x14ac:dyDescent="0.25">
      <c r="B97" s="382"/>
      <c r="C97" s="382"/>
      <c r="D97" s="382"/>
    </row>
    <row r="98" ht="15.75" customHeight="1" spans="2:4" x14ac:dyDescent="0.25">
      <c r="B98" s="382"/>
      <c r="C98" s="382"/>
      <c r="D98" s="382"/>
    </row>
    <row r="99" ht="15.75" customHeight="1" spans="2:4" x14ac:dyDescent="0.25">
      <c r="B99" s="382"/>
      <c r="C99" s="382"/>
      <c r="D99" s="382"/>
    </row>
    <row r="100" ht="15.75" customHeight="1" spans="2:4" x14ac:dyDescent="0.25">
      <c r="B100" s="382"/>
      <c r="C100" s="382"/>
      <c r="D100" s="382"/>
    </row>
    <row r="101" ht="15.75" customHeight="1" spans="2:4" x14ac:dyDescent="0.25">
      <c r="B101" s="382"/>
      <c r="C101" s="382"/>
      <c r="D101" s="382"/>
    </row>
    <row r="102" ht="15.75" customHeight="1" spans="2:4" x14ac:dyDescent="0.25">
      <c r="B102" s="382"/>
      <c r="C102" s="382"/>
      <c r="D102" s="382"/>
    </row>
    <row r="103" ht="15.75" customHeight="1" spans="2:4" x14ac:dyDescent="0.25">
      <c r="B103" s="382"/>
      <c r="C103" s="382"/>
      <c r="D103" s="382"/>
    </row>
    <row r="104" ht="15.75" customHeight="1" spans="2:4" x14ac:dyDescent="0.25">
      <c r="B104" s="382"/>
      <c r="C104" s="382"/>
      <c r="D104" s="382"/>
    </row>
    <row r="105" ht="15.75" customHeight="1" spans="2:4" x14ac:dyDescent="0.25">
      <c r="B105" s="382"/>
      <c r="C105" s="382"/>
      <c r="D105" s="382"/>
    </row>
    <row r="106" ht="15.75" customHeight="1" spans="2:4" x14ac:dyDescent="0.25">
      <c r="B106" s="382"/>
      <c r="C106" s="382"/>
      <c r="D106" s="382"/>
    </row>
    <row r="107" ht="15.75" customHeight="1" spans="2:4" x14ac:dyDescent="0.25">
      <c r="B107" s="382"/>
      <c r="C107" s="382"/>
      <c r="D107" s="382"/>
    </row>
    <row r="108" ht="15.75" customHeight="1" spans="2:4" x14ac:dyDescent="0.25">
      <c r="B108" s="382"/>
      <c r="C108" s="382"/>
      <c r="D108" s="382"/>
    </row>
    <row r="109" ht="15.75" customHeight="1" spans="2:4" x14ac:dyDescent="0.25">
      <c r="B109" s="382"/>
      <c r="C109" s="382"/>
      <c r="D109" s="382"/>
    </row>
    <row r="110" ht="15.75" customHeight="1" spans="2:4" x14ac:dyDescent="0.25">
      <c r="B110" s="382"/>
      <c r="C110" s="382"/>
      <c r="D110" s="382"/>
    </row>
    <row r="111" ht="15.75" customHeight="1" spans="2:4" x14ac:dyDescent="0.25">
      <c r="B111" s="382"/>
      <c r="C111" s="382"/>
      <c r="D111" s="382"/>
    </row>
    <row r="112" ht="15.75" customHeight="1" spans="2:4" x14ac:dyDescent="0.25">
      <c r="B112" s="382"/>
      <c r="C112" s="382"/>
      <c r="D112" s="382"/>
    </row>
    <row r="113" ht="15.75" customHeight="1" spans="2:4" x14ac:dyDescent="0.25">
      <c r="B113" s="382"/>
      <c r="C113" s="382"/>
      <c r="D113" s="382"/>
    </row>
    <row r="114" ht="15.75" customHeight="1" spans="2:4" x14ac:dyDescent="0.25">
      <c r="B114" s="382"/>
      <c r="C114" s="382"/>
      <c r="D114" s="382"/>
    </row>
    <row r="115" ht="15.75" customHeight="1" spans="2:4" x14ac:dyDescent="0.25">
      <c r="B115" s="382"/>
      <c r="C115" s="382"/>
      <c r="D115" s="382"/>
    </row>
    <row r="116" ht="15.75" customHeight="1" spans="2:4" x14ac:dyDescent="0.25">
      <c r="B116" s="382"/>
      <c r="C116" s="382"/>
      <c r="D116" s="382"/>
    </row>
    <row r="117" ht="15.75" customHeight="1" spans="2:4" x14ac:dyDescent="0.25">
      <c r="B117" s="382"/>
      <c r="C117" s="382"/>
      <c r="D117" s="382"/>
    </row>
    <row r="118" ht="15.75" customHeight="1" spans="2:4" x14ac:dyDescent="0.25">
      <c r="B118" s="382"/>
      <c r="C118" s="382"/>
      <c r="D118" s="382"/>
    </row>
    <row r="119" ht="15.75" customHeight="1" spans="2:4" x14ac:dyDescent="0.25">
      <c r="B119" s="382"/>
      <c r="C119" s="382"/>
      <c r="D119" s="382"/>
    </row>
    <row r="120" ht="15.75" customHeight="1" spans="2:4" x14ac:dyDescent="0.25">
      <c r="B120" s="382"/>
      <c r="C120" s="382"/>
      <c r="D120" s="382"/>
    </row>
    <row r="121" ht="15.75" customHeight="1" spans="2:4" x14ac:dyDescent="0.25">
      <c r="B121" s="382"/>
      <c r="C121" s="382"/>
      <c r="D121" s="382"/>
    </row>
    <row r="122" ht="15.75" customHeight="1" spans="2:4" x14ac:dyDescent="0.25">
      <c r="B122" s="382"/>
      <c r="C122" s="382"/>
      <c r="D122" s="382"/>
    </row>
    <row r="123" ht="15.75" customHeight="1" spans="2:4" x14ac:dyDescent="0.25">
      <c r="B123" s="382"/>
      <c r="C123" s="382"/>
      <c r="D123" s="382"/>
    </row>
    <row r="124" ht="15.75" customHeight="1" spans="2:4" x14ac:dyDescent="0.25">
      <c r="B124" s="382"/>
      <c r="C124" s="382"/>
      <c r="D124" s="382"/>
    </row>
    <row r="125" ht="15.75" customHeight="1" spans="2:4" x14ac:dyDescent="0.25">
      <c r="B125" s="382"/>
      <c r="C125" s="382"/>
      <c r="D125" s="382"/>
    </row>
    <row r="126" ht="15.75" customHeight="1" spans="2:4" x14ac:dyDescent="0.25">
      <c r="B126" s="382"/>
      <c r="C126" s="382"/>
      <c r="D126" s="382"/>
    </row>
    <row r="127" ht="15.75" customHeight="1" spans="2:4" x14ac:dyDescent="0.25">
      <c r="B127" s="382"/>
      <c r="C127" s="382"/>
      <c r="D127" s="382"/>
    </row>
    <row r="128" ht="15.75" customHeight="1" spans="2:4" x14ac:dyDescent="0.25">
      <c r="B128" s="382"/>
      <c r="C128" s="382"/>
      <c r="D128" s="382"/>
    </row>
    <row r="129" ht="15.75" customHeight="1" spans="2:4" x14ac:dyDescent="0.25">
      <c r="B129" s="382"/>
      <c r="C129" s="382"/>
      <c r="D129" s="382"/>
    </row>
    <row r="130" ht="15.75" customHeight="1" spans="2:4" x14ac:dyDescent="0.25">
      <c r="B130" s="382"/>
      <c r="C130" s="382"/>
      <c r="D130" s="382"/>
    </row>
    <row r="131" ht="15.75" customHeight="1" spans="2:4" x14ac:dyDescent="0.25">
      <c r="B131" s="382"/>
      <c r="C131" s="382"/>
      <c r="D131" s="382"/>
    </row>
    <row r="132" ht="15.75" customHeight="1" spans="2:4" x14ac:dyDescent="0.25">
      <c r="B132" s="382"/>
      <c r="C132" s="382"/>
      <c r="D132" s="382"/>
    </row>
    <row r="133" ht="15.75" customHeight="1" spans="2:4" x14ac:dyDescent="0.25">
      <c r="B133" s="382"/>
      <c r="C133" s="382"/>
      <c r="D133" s="382"/>
    </row>
    <row r="134" ht="15.75" customHeight="1" spans="2:4" x14ac:dyDescent="0.25">
      <c r="B134" s="382"/>
      <c r="C134" s="382"/>
      <c r="D134" s="382"/>
    </row>
    <row r="135" ht="15.75" customHeight="1" spans="2:4" x14ac:dyDescent="0.25">
      <c r="B135" s="382"/>
      <c r="C135" s="382"/>
      <c r="D135" s="382"/>
    </row>
    <row r="136" ht="15.75" customHeight="1" spans="2:4" x14ac:dyDescent="0.25">
      <c r="B136" s="382"/>
      <c r="C136" s="382"/>
      <c r="D136" s="382"/>
    </row>
    <row r="137" ht="15.75" customHeight="1" spans="2:4" x14ac:dyDescent="0.25">
      <c r="B137" s="382"/>
      <c r="C137" s="382"/>
      <c r="D137" s="382"/>
    </row>
    <row r="138" ht="15.75" customHeight="1" spans="2:4" x14ac:dyDescent="0.25">
      <c r="B138" s="382"/>
      <c r="C138" s="382"/>
      <c r="D138" s="382"/>
    </row>
    <row r="139" ht="15.75" customHeight="1" spans="2:4" x14ac:dyDescent="0.25">
      <c r="B139" s="382"/>
      <c r="C139" s="382"/>
      <c r="D139" s="382"/>
    </row>
    <row r="140" ht="15.75" customHeight="1" spans="2:4" x14ac:dyDescent="0.25">
      <c r="B140" s="382"/>
      <c r="C140" s="382"/>
      <c r="D140" s="382"/>
    </row>
    <row r="141" ht="15.75" customHeight="1" spans="2:4" x14ac:dyDescent="0.25">
      <c r="B141" s="382"/>
      <c r="C141" s="382"/>
      <c r="D141" s="382"/>
    </row>
    <row r="142" ht="15.75" customHeight="1" spans="2:4" x14ac:dyDescent="0.25">
      <c r="B142" s="382"/>
      <c r="C142" s="382"/>
      <c r="D142" s="382"/>
    </row>
    <row r="143" ht="15.75" customHeight="1" spans="2:4" x14ac:dyDescent="0.25">
      <c r="B143" s="382"/>
      <c r="C143" s="382"/>
      <c r="D143" s="382"/>
    </row>
    <row r="144" ht="15.75" customHeight="1" spans="2:4" x14ac:dyDescent="0.25">
      <c r="B144" s="382"/>
      <c r="C144" s="382"/>
      <c r="D144" s="382"/>
    </row>
    <row r="145" ht="15.75" customHeight="1" spans="2:4" x14ac:dyDescent="0.25">
      <c r="B145" s="382"/>
      <c r="C145" s="382"/>
      <c r="D145" s="382"/>
    </row>
    <row r="146" ht="15.75" customHeight="1" spans="2:4" x14ac:dyDescent="0.25">
      <c r="B146" s="382"/>
      <c r="C146" s="382"/>
      <c r="D146" s="382"/>
    </row>
    <row r="147" ht="15.75" customHeight="1" spans="2:4" x14ac:dyDescent="0.25">
      <c r="B147" s="382"/>
      <c r="C147" s="382"/>
      <c r="D147" s="382"/>
    </row>
    <row r="148" ht="15.75" customHeight="1" spans="2:4" x14ac:dyDescent="0.25">
      <c r="B148" s="382"/>
      <c r="C148" s="382"/>
      <c r="D148" s="382"/>
    </row>
    <row r="149" ht="15.75" customHeight="1" spans="2:4" x14ac:dyDescent="0.25">
      <c r="B149" s="382"/>
      <c r="C149" s="382"/>
      <c r="D149" s="382"/>
    </row>
    <row r="150" ht="15.75" customHeight="1" spans="2:4" x14ac:dyDescent="0.25">
      <c r="B150" s="382"/>
      <c r="C150" s="382"/>
      <c r="D150" s="382"/>
    </row>
    <row r="151" ht="15.75" customHeight="1" spans="2:4" x14ac:dyDescent="0.25">
      <c r="B151" s="382"/>
      <c r="C151" s="382"/>
      <c r="D151" s="382"/>
    </row>
    <row r="152" ht="15.75" customHeight="1" spans="2:4" x14ac:dyDescent="0.25">
      <c r="B152" s="382"/>
      <c r="C152" s="382"/>
      <c r="D152" s="382"/>
    </row>
    <row r="153" ht="15.75" customHeight="1" spans="2:4" x14ac:dyDescent="0.25">
      <c r="B153" s="382"/>
      <c r="C153" s="382"/>
      <c r="D153" s="382"/>
    </row>
    <row r="154" ht="15.75" customHeight="1" spans="2:4" x14ac:dyDescent="0.25">
      <c r="B154" s="382"/>
      <c r="C154" s="382"/>
      <c r="D154" s="382"/>
    </row>
    <row r="155" ht="15.75" customHeight="1" spans="2:4" x14ac:dyDescent="0.25">
      <c r="B155" s="382"/>
      <c r="C155" s="382"/>
      <c r="D155" s="382"/>
    </row>
    <row r="156" ht="15.75" customHeight="1" spans="2:4" x14ac:dyDescent="0.25">
      <c r="B156" s="382"/>
      <c r="C156" s="382"/>
      <c r="D156" s="382"/>
    </row>
    <row r="157" ht="15.75" customHeight="1" spans="2:4" x14ac:dyDescent="0.25">
      <c r="B157" s="382"/>
      <c r="C157" s="382"/>
      <c r="D157" s="382"/>
    </row>
    <row r="158" ht="15.75" customHeight="1" spans="2:4" x14ac:dyDescent="0.25">
      <c r="B158" s="382"/>
      <c r="C158" s="382"/>
      <c r="D158" s="382"/>
    </row>
    <row r="159" ht="15.75" customHeight="1" spans="2:4" x14ac:dyDescent="0.25">
      <c r="B159" s="382"/>
      <c r="C159" s="382"/>
      <c r="D159" s="382"/>
    </row>
    <row r="160" ht="15.75" customHeight="1" spans="2:4" x14ac:dyDescent="0.25">
      <c r="B160" s="382"/>
      <c r="C160" s="382"/>
      <c r="D160" s="382"/>
    </row>
    <row r="161" ht="15.75" customHeight="1" spans="2:4" x14ac:dyDescent="0.25">
      <c r="B161" s="382"/>
      <c r="C161" s="382"/>
      <c r="D161" s="382"/>
    </row>
    <row r="162" ht="15.75" customHeight="1" spans="2:4" x14ac:dyDescent="0.25">
      <c r="B162" s="382"/>
      <c r="C162" s="382"/>
      <c r="D162" s="382"/>
    </row>
    <row r="163" ht="15.75" customHeight="1" spans="2:4" x14ac:dyDescent="0.25">
      <c r="B163" s="382"/>
      <c r="C163" s="382"/>
      <c r="D163" s="382"/>
    </row>
    <row r="164" ht="15.75" customHeight="1" spans="2:4" x14ac:dyDescent="0.25">
      <c r="B164" s="382"/>
      <c r="C164" s="382"/>
      <c r="D164" s="382"/>
    </row>
    <row r="165" ht="15.75" customHeight="1" spans="2:4" x14ac:dyDescent="0.25">
      <c r="B165" s="382"/>
      <c r="C165" s="382"/>
      <c r="D165" s="382"/>
    </row>
    <row r="166" ht="15.75" customHeight="1" spans="2:4" x14ac:dyDescent="0.25">
      <c r="B166" s="382"/>
      <c r="C166" s="382"/>
      <c r="D166" s="382"/>
    </row>
    <row r="167" ht="15.75" customHeight="1" spans="2:4" x14ac:dyDescent="0.25">
      <c r="B167" s="382"/>
      <c r="C167" s="382"/>
      <c r="D167" s="382"/>
    </row>
    <row r="168" ht="15.75" customHeight="1" spans="2:4" x14ac:dyDescent="0.25">
      <c r="B168" s="382"/>
      <c r="C168" s="382"/>
      <c r="D168" s="382"/>
    </row>
    <row r="169" ht="15.75" customHeight="1" spans="2:4" x14ac:dyDescent="0.25">
      <c r="B169" s="382"/>
      <c r="C169" s="382"/>
      <c r="D169" s="382"/>
    </row>
    <row r="170" ht="15.75" customHeight="1" spans="2:4" x14ac:dyDescent="0.25">
      <c r="B170" s="382"/>
      <c r="C170" s="382"/>
      <c r="D170" s="382"/>
    </row>
    <row r="171" ht="15.75" customHeight="1" spans="2:4" x14ac:dyDescent="0.25">
      <c r="B171" s="382"/>
      <c r="C171" s="382"/>
      <c r="D171" s="382"/>
    </row>
    <row r="172" ht="15.75" customHeight="1" spans="2:4" x14ac:dyDescent="0.25">
      <c r="B172" s="382"/>
      <c r="C172" s="382"/>
      <c r="D172" s="382"/>
    </row>
    <row r="173" ht="15.75" customHeight="1" spans="2:4" x14ac:dyDescent="0.25">
      <c r="B173" s="382"/>
      <c r="C173" s="382"/>
      <c r="D173" s="382"/>
    </row>
    <row r="174" ht="15.75" customHeight="1" spans="2:4" x14ac:dyDescent="0.25">
      <c r="B174" s="382"/>
      <c r="C174" s="382"/>
      <c r="D174" s="382"/>
    </row>
    <row r="175" ht="15.75" customHeight="1" spans="2:4" x14ac:dyDescent="0.25">
      <c r="B175" s="382"/>
      <c r="C175" s="382"/>
      <c r="D175" s="382"/>
    </row>
    <row r="176" ht="15.75" customHeight="1" spans="2:4" x14ac:dyDescent="0.25">
      <c r="B176" s="382"/>
      <c r="C176" s="382"/>
      <c r="D176" s="382"/>
    </row>
    <row r="177" ht="15.75" customHeight="1" spans="2:4" x14ac:dyDescent="0.25">
      <c r="B177" s="382"/>
      <c r="C177" s="382"/>
      <c r="D177" s="382"/>
    </row>
    <row r="178" ht="15.75" customHeight="1" spans="2:4" x14ac:dyDescent="0.25">
      <c r="B178" s="382"/>
      <c r="C178" s="382"/>
      <c r="D178" s="382"/>
    </row>
    <row r="179" ht="15.75" customHeight="1" spans="2:4" x14ac:dyDescent="0.25">
      <c r="B179" s="382"/>
      <c r="C179" s="382"/>
      <c r="D179" s="382"/>
    </row>
    <row r="180" ht="15.75" customHeight="1" spans="2:4" x14ac:dyDescent="0.25">
      <c r="B180" s="382"/>
      <c r="C180" s="382"/>
      <c r="D180" s="382"/>
    </row>
    <row r="181" ht="15.75" customHeight="1" spans="2:4" x14ac:dyDescent="0.25">
      <c r="B181" s="382"/>
      <c r="C181" s="382"/>
      <c r="D181" s="382"/>
    </row>
    <row r="182" ht="15.75" customHeight="1" spans="2:4" x14ac:dyDescent="0.25">
      <c r="B182" s="382"/>
      <c r="C182" s="382"/>
      <c r="D182" s="382"/>
    </row>
    <row r="183" ht="15.75" customHeight="1" spans="2:4" x14ac:dyDescent="0.25">
      <c r="B183" s="382"/>
      <c r="C183" s="382"/>
      <c r="D183" s="382"/>
    </row>
    <row r="184" ht="15.75" customHeight="1" spans="2:4" x14ac:dyDescent="0.25">
      <c r="B184" s="382"/>
      <c r="C184" s="382"/>
      <c r="D184" s="382"/>
    </row>
    <row r="185" ht="15.75" customHeight="1" spans="2:4" x14ac:dyDescent="0.25">
      <c r="B185" s="382"/>
      <c r="C185" s="382"/>
      <c r="D185" s="382"/>
    </row>
    <row r="186" ht="15.75" customHeight="1" spans="2:4" x14ac:dyDescent="0.25">
      <c r="B186" s="382"/>
      <c r="C186" s="382"/>
      <c r="D186" s="382"/>
    </row>
    <row r="187" ht="15.75" customHeight="1" spans="2:4" x14ac:dyDescent="0.25">
      <c r="B187" s="382"/>
      <c r="C187" s="382"/>
      <c r="D187" s="382"/>
    </row>
    <row r="188" ht="15.75" customHeight="1" spans="2:4" x14ac:dyDescent="0.25">
      <c r="B188" s="382"/>
      <c r="C188" s="382"/>
      <c r="D188" s="382"/>
    </row>
    <row r="189" ht="15.75" customHeight="1" spans="2:4" x14ac:dyDescent="0.25">
      <c r="B189" s="382"/>
      <c r="C189" s="382"/>
      <c r="D189" s="382"/>
    </row>
    <row r="190" ht="15.75" customHeight="1" spans="2:4" x14ac:dyDescent="0.25">
      <c r="B190" s="382"/>
      <c r="C190" s="382"/>
      <c r="D190" s="382"/>
    </row>
    <row r="191" ht="15.75" customHeight="1" spans="2:4" x14ac:dyDescent="0.25">
      <c r="B191" s="382"/>
      <c r="C191" s="382"/>
      <c r="D191" s="382"/>
    </row>
    <row r="192" ht="15.75" customHeight="1" spans="2:4" x14ac:dyDescent="0.25">
      <c r="B192" s="382"/>
      <c r="C192" s="382"/>
      <c r="D192" s="382"/>
    </row>
    <row r="193" ht="15.75" customHeight="1" spans="2:4" x14ac:dyDescent="0.25">
      <c r="B193" s="382"/>
      <c r="C193" s="382"/>
      <c r="D193" s="382"/>
    </row>
    <row r="194" ht="15.75" customHeight="1" spans="2:4" x14ac:dyDescent="0.25">
      <c r="B194" s="382"/>
      <c r="C194" s="382"/>
      <c r="D194" s="382"/>
    </row>
    <row r="195" ht="15.75" customHeight="1" spans="2:4" x14ac:dyDescent="0.25">
      <c r="B195" s="382"/>
      <c r="C195" s="382"/>
      <c r="D195" s="382"/>
    </row>
    <row r="196" ht="15.75" customHeight="1" spans="2:4" x14ac:dyDescent="0.25">
      <c r="B196" s="382"/>
      <c r="C196" s="382"/>
      <c r="D196" s="382"/>
    </row>
    <row r="197" ht="15.75" customHeight="1" spans="2:4" x14ac:dyDescent="0.25">
      <c r="B197" s="382"/>
      <c r="C197" s="382"/>
      <c r="D197" s="382"/>
    </row>
    <row r="198" ht="15.75" customHeight="1" spans="2:4" x14ac:dyDescent="0.25">
      <c r="B198" s="382"/>
      <c r="C198" s="382"/>
      <c r="D198" s="382"/>
    </row>
    <row r="199" ht="15.75" customHeight="1" spans="2:4" x14ac:dyDescent="0.25">
      <c r="B199" s="382"/>
      <c r="C199" s="382"/>
      <c r="D199" s="382"/>
    </row>
    <row r="200" ht="15.75" customHeight="1" spans="2:4" x14ac:dyDescent="0.25">
      <c r="B200" s="382"/>
      <c r="C200" s="382"/>
      <c r="D200" s="382"/>
    </row>
    <row r="201" ht="15.75" customHeight="1" spans="2:4" x14ac:dyDescent="0.25">
      <c r="B201" s="382"/>
      <c r="C201" s="382"/>
      <c r="D201" s="382"/>
    </row>
    <row r="202" ht="15.75" customHeight="1" spans="2:4" x14ac:dyDescent="0.25">
      <c r="B202" s="382"/>
      <c r="C202" s="382"/>
      <c r="D202" s="382"/>
    </row>
    <row r="203" ht="15.75" customHeight="1" spans="2:4" x14ac:dyDescent="0.25">
      <c r="B203" s="382"/>
      <c r="C203" s="382"/>
      <c r="D203" s="382"/>
    </row>
    <row r="204" ht="15.75" customHeight="1" spans="2:4" x14ac:dyDescent="0.25">
      <c r="B204" s="382"/>
      <c r="C204" s="382"/>
      <c r="D204" s="382"/>
    </row>
    <row r="205" ht="15.75" customHeight="1" spans="2:4" x14ac:dyDescent="0.25">
      <c r="B205" s="382"/>
      <c r="C205" s="382"/>
      <c r="D205" s="382"/>
    </row>
    <row r="206" ht="15.75" customHeight="1" spans="2:4" x14ac:dyDescent="0.25">
      <c r="B206" s="382"/>
      <c r="C206" s="382"/>
      <c r="D206" s="382"/>
    </row>
    <row r="207" ht="15.75" customHeight="1" spans="2:4" x14ac:dyDescent="0.25">
      <c r="B207" s="382"/>
      <c r="C207" s="382"/>
      <c r="D207" s="382"/>
    </row>
    <row r="208" ht="15.75" customHeight="1" spans="2:4" x14ac:dyDescent="0.25">
      <c r="B208" s="382"/>
      <c r="C208" s="382"/>
      <c r="D208" s="382"/>
    </row>
    <row r="209" ht="15.75" customHeight="1" spans="2:4" x14ac:dyDescent="0.25">
      <c r="B209" s="382"/>
      <c r="C209" s="382"/>
      <c r="D209" s="382"/>
    </row>
    <row r="210" ht="15.75" customHeight="1" spans="2:4" x14ac:dyDescent="0.25">
      <c r="B210" s="382"/>
      <c r="C210" s="382"/>
      <c r="D210" s="382"/>
    </row>
    <row r="211" ht="15.75" customHeight="1" spans="2:4" x14ac:dyDescent="0.25">
      <c r="B211" s="382"/>
      <c r="C211" s="382"/>
      <c r="D211" s="382"/>
    </row>
    <row r="212" ht="15.75" customHeight="1" spans="2:4" x14ac:dyDescent="0.25">
      <c r="B212" s="382"/>
      <c r="C212" s="382"/>
      <c r="D212" s="382"/>
    </row>
    <row r="213" ht="15.75" customHeight="1" spans="2:4" x14ac:dyDescent="0.25">
      <c r="B213" s="382"/>
      <c r="C213" s="382"/>
      <c r="D213" s="382"/>
    </row>
    <row r="214" ht="15.75" customHeight="1" spans="2:4" x14ac:dyDescent="0.25">
      <c r="B214" s="382"/>
      <c r="C214" s="382"/>
      <c r="D214" s="382"/>
    </row>
    <row r="215" ht="15.75" customHeight="1" spans="2:4" x14ac:dyDescent="0.25">
      <c r="B215" s="382"/>
      <c r="C215" s="382"/>
      <c r="D215" s="382"/>
    </row>
    <row r="216" ht="15.75" customHeight="1" spans="2:4" x14ac:dyDescent="0.25">
      <c r="B216" s="382"/>
      <c r="C216" s="382"/>
      <c r="D216" s="382"/>
    </row>
    <row r="217" ht="15.75" customHeight="1" spans="2:4" x14ac:dyDescent="0.25">
      <c r="B217" s="382"/>
      <c r="C217" s="382"/>
      <c r="D217" s="382"/>
    </row>
    <row r="218" ht="15.75" customHeight="1" spans="2:4" x14ac:dyDescent="0.25">
      <c r="B218" s="382"/>
      <c r="C218" s="382"/>
      <c r="D218" s="382"/>
    </row>
    <row r="219" ht="15.75" customHeight="1" spans="2:4" x14ac:dyDescent="0.25">
      <c r="B219" s="382"/>
      <c r="C219" s="382"/>
      <c r="D219" s="382"/>
    </row>
    <row r="220" ht="15.75" customHeight="1" spans="2:4" x14ac:dyDescent="0.25">
      <c r="B220" s="382"/>
      <c r="C220" s="382"/>
      <c r="D220" s="382"/>
    </row>
    <row r="221" ht="15.75" customHeight="1" spans="2:4" x14ac:dyDescent="0.25">
      <c r="B221" s="382"/>
      <c r="C221" s="382"/>
      <c r="D221" s="382"/>
    </row>
    <row r="222" ht="15.75" customHeight="1" spans="2:4" x14ac:dyDescent="0.25">
      <c r="B222" s="382"/>
      <c r="C222" s="382"/>
      <c r="D222" s="382"/>
    </row>
    <row r="223" ht="15.75" customHeight="1" spans="2:4" x14ac:dyDescent="0.25">
      <c r="B223" s="382"/>
      <c r="C223" s="382"/>
      <c r="D223" s="382"/>
    </row>
    <row r="224" ht="15.75" customHeight="1" spans="2:4" x14ac:dyDescent="0.25">
      <c r="B224" s="382"/>
      <c r="C224" s="382"/>
      <c r="D224" s="382"/>
    </row>
    <row r="225" ht="15.75" customHeight="1" spans="2:4" x14ac:dyDescent="0.25">
      <c r="B225" s="382"/>
      <c r="C225" s="382"/>
      <c r="D225" s="382"/>
    </row>
    <row r="226" ht="15.75" customHeight="1" spans="2:4" x14ac:dyDescent="0.25">
      <c r="B226" s="382"/>
      <c r="C226" s="382"/>
      <c r="D226" s="382"/>
    </row>
    <row r="227" ht="15.75" customHeight="1" spans="2:4" x14ac:dyDescent="0.25">
      <c r="B227" s="382"/>
      <c r="C227" s="382"/>
      <c r="D227" s="382"/>
    </row>
    <row r="228" ht="15.75" customHeight="1" spans="2:4" x14ac:dyDescent="0.25">
      <c r="B228" s="382"/>
      <c r="C228" s="382"/>
      <c r="D228" s="382"/>
    </row>
    <row r="229" ht="15.75" customHeight="1" spans="2:4" x14ac:dyDescent="0.25">
      <c r="B229" s="382"/>
      <c r="C229" s="382"/>
      <c r="D229" s="382"/>
    </row>
    <row r="230" ht="15.75" customHeight="1" spans="2:4" x14ac:dyDescent="0.25">
      <c r="B230" s="382"/>
      <c r="C230" s="382"/>
      <c r="D230" s="382"/>
    </row>
    <row r="231" ht="15.75" customHeight="1" spans="2:4" x14ac:dyDescent="0.25">
      <c r="B231" s="382"/>
      <c r="C231" s="382"/>
      <c r="D231" s="382"/>
    </row>
    <row r="232" ht="15.75" customHeight="1" spans="2:4" x14ac:dyDescent="0.25">
      <c r="B232" s="382"/>
      <c r="C232" s="382"/>
      <c r="D232" s="382"/>
    </row>
    <row r="233" ht="15.75" customHeight="1" spans="2:4" x14ac:dyDescent="0.25">
      <c r="B233" s="382"/>
      <c r="C233" s="382"/>
      <c r="D233" s="382"/>
    </row>
    <row r="234" ht="15.75" customHeight="1" spans="2:4" x14ac:dyDescent="0.25">
      <c r="B234" s="382"/>
      <c r="C234" s="382"/>
      <c r="D234" s="382"/>
    </row>
    <row r="235" ht="15.75" customHeight="1" spans="2:4" x14ac:dyDescent="0.25">
      <c r="B235" s="382"/>
      <c r="C235" s="382"/>
      <c r="D235" s="382"/>
    </row>
    <row r="236" ht="15.75" customHeight="1" spans="2:4" x14ac:dyDescent="0.25">
      <c r="B236" s="382"/>
      <c r="C236" s="382"/>
      <c r="D236" s="382"/>
    </row>
    <row r="237" ht="15.75" customHeight="1" spans="2:4" x14ac:dyDescent="0.25">
      <c r="B237" s="382"/>
      <c r="C237" s="382"/>
      <c r="D237" s="382"/>
    </row>
    <row r="238" ht="15.75" customHeight="1" spans="2:4" x14ac:dyDescent="0.25">
      <c r="B238" s="382"/>
      <c r="C238" s="382"/>
      <c r="D238" s="382"/>
    </row>
    <row r="239" ht="15.75" customHeight="1" spans="2:4" x14ac:dyDescent="0.25">
      <c r="B239" s="382"/>
      <c r="C239" s="382"/>
      <c r="D239" s="382"/>
    </row>
    <row r="240" ht="15.75" customHeight="1" spans="2:4" x14ac:dyDescent="0.25">
      <c r="B240" s="382"/>
      <c r="C240" s="382"/>
      <c r="D240" s="382"/>
    </row>
    <row r="241" ht="15.75" customHeight="1" spans="2:4" x14ac:dyDescent="0.25">
      <c r="B241" s="382"/>
      <c r="C241" s="382"/>
      <c r="D241" s="382"/>
    </row>
    <row r="242" ht="15.75" customHeight="1" spans="2:4" x14ac:dyDescent="0.25">
      <c r="B242" s="382"/>
      <c r="C242" s="382"/>
      <c r="D242" s="382"/>
    </row>
    <row r="243" ht="15.75" customHeight="1" spans="2:4" x14ac:dyDescent="0.25">
      <c r="B243" s="382"/>
      <c r="C243" s="382"/>
      <c r="D243" s="382"/>
    </row>
    <row r="244" ht="15.75" customHeight="1" spans="2:4" x14ac:dyDescent="0.25">
      <c r="B244" s="382"/>
      <c r="C244" s="382"/>
      <c r="D244" s="382"/>
    </row>
    <row r="245" ht="15.75" customHeight="1" spans="2:4" x14ac:dyDescent="0.25">
      <c r="B245" s="382"/>
      <c r="C245" s="382"/>
      <c r="D245" s="382"/>
    </row>
    <row r="246" ht="15.75" customHeight="1" spans="2:4" x14ac:dyDescent="0.25">
      <c r="B246" s="382"/>
      <c r="C246" s="382"/>
      <c r="D246" s="382"/>
    </row>
    <row r="247" ht="15.75" customHeight="1" spans="2:4" x14ac:dyDescent="0.25">
      <c r="B247" s="382"/>
      <c r="C247" s="382"/>
      <c r="D247" s="382"/>
    </row>
    <row r="248" ht="15.75" customHeight="1" spans="2:4" x14ac:dyDescent="0.25">
      <c r="B248" s="382"/>
      <c r="C248" s="382"/>
      <c r="D248" s="382"/>
    </row>
    <row r="249" ht="15.75" customHeight="1" spans="2:4" x14ac:dyDescent="0.25">
      <c r="B249" s="382"/>
      <c r="C249" s="382"/>
      <c r="D249" s="382"/>
    </row>
    <row r="250" ht="15.75" customHeight="1" spans="2:4" x14ac:dyDescent="0.25">
      <c r="B250" s="382"/>
      <c r="C250" s="382"/>
      <c r="D250" s="382"/>
    </row>
    <row r="251" ht="15.75" customHeight="1" spans="2:4" x14ac:dyDescent="0.25">
      <c r="B251" s="382"/>
      <c r="C251" s="382"/>
      <c r="D251" s="382"/>
    </row>
    <row r="252" ht="15.75" customHeight="1" spans="2:4" x14ac:dyDescent="0.25">
      <c r="B252" s="382"/>
      <c r="C252" s="382"/>
      <c r="D252" s="382"/>
    </row>
    <row r="253" ht="15.75" customHeight="1" spans="2:4" x14ac:dyDescent="0.25">
      <c r="B253" s="382"/>
      <c r="C253" s="382"/>
      <c r="D253" s="382"/>
    </row>
    <row r="254" ht="15.75" customHeight="1" spans="2:4" x14ac:dyDescent="0.25">
      <c r="B254" s="382"/>
      <c r="C254" s="382"/>
      <c r="D254" s="382"/>
    </row>
    <row r="255" ht="15.75" customHeight="1" spans="2:4" x14ac:dyDescent="0.25">
      <c r="B255" s="382"/>
      <c r="C255" s="382"/>
      <c r="D255" s="382"/>
    </row>
    <row r="256" ht="15.75" customHeight="1" spans="2:4" x14ac:dyDescent="0.25">
      <c r="B256" s="382"/>
      <c r="C256" s="382"/>
      <c r="D256" s="382"/>
    </row>
    <row r="257" ht="15.75" customHeight="1" spans="2:4" x14ac:dyDescent="0.25">
      <c r="B257" s="382"/>
      <c r="C257" s="382"/>
      <c r="D257" s="382"/>
    </row>
    <row r="258" ht="15.75" customHeight="1" spans="2:4" x14ac:dyDescent="0.25">
      <c r="B258" s="382"/>
      <c r="C258" s="382"/>
      <c r="D258" s="382"/>
    </row>
    <row r="259" ht="15.75" customHeight="1" spans="2:4" x14ac:dyDescent="0.25">
      <c r="B259" s="382"/>
      <c r="C259" s="382"/>
      <c r="D259" s="382"/>
    </row>
    <row r="260" ht="15.75" customHeight="1" spans="2:4" x14ac:dyDescent="0.25">
      <c r="B260" s="382"/>
      <c r="C260" s="382"/>
      <c r="D260" s="382"/>
    </row>
    <row r="261" ht="15.75" customHeight="1" spans="2:4" x14ac:dyDescent="0.25">
      <c r="B261" s="382"/>
      <c r="C261" s="382"/>
      <c r="D261" s="382"/>
    </row>
    <row r="262" ht="15.75" customHeight="1" spans="2:4" x14ac:dyDescent="0.25">
      <c r="B262" s="382"/>
      <c r="C262" s="382"/>
      <c r="D262" s="382"/>
    </row>
    <row r="263" ht="15.75" customHeight="1" spans="2:4" x14ac:dyDescent="0.25">
      <c r="B263" s="382"/>
      <c r="C263" s="382"/>
      <c r="D263" s="382"/>
    </row>
    <row r="264" ht="15.75" customHeight="1" spans="2:4" x14ac:dyDescent="0.25">
      <c r="B264" s="382"/>
      <c r="C264" s="382"/>
      <c r="D264" s="382"/>
    </row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</sheetData>
  <mergeCells count="14">
    <mergeCell ref="A2:A3"/>
    <mergeCell ref="B2:B3"/>
    <mergeCell ref="C2:C3"/>
    <mergeCell ref="D2:D3"/>
    <mergeCell ref="E2:E3"/>
    <mergeCell ref="B55:B56"/>
    <mergeCell ref="C55:C56"/>
    <mergeCell ref="D55:D56"/>
    <mergeCell ref="E55:E56"/>
    <mergeCell ref="B62:B63"/>
    <mergeCell ref="C62:C63"/>
    <mergeCell ref="D62:D63"/>
    <mergeCell ref="E62:E63"/>
    <mergeCell ref="C64:C65"/>
  </mergeCells>
  <pageMargins left="0.7" right="0.7" top="0.75" bottom="0.75" header="0.3" footer="0.3"/>
  <pageSetup paperSize="8" orientation="portrait" horizontalDpi="4294967295" verticalDpi="4294967295" scale="75" fitToWidth="0" fitToHeight="1" firstPageNumber="1" useFirstPageNumber="1" copies="1"/>
  <headerFooter>
    <oddHeader>&amp;L 004280ACCUMULATED FINANCIAL INFORMATION</oddHeader>
    <oddFooter>&amp;C 13_TEM_FinancialInformation_V1.0_20180131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Plan </vt:lpstr>
      <vt:lpstr>Breakdown expediture</vt:lpstr>
      <vt:lpstr>Quarterly financial</vt:lpstr>
      <vt:lpstr>Next Quarter Projection</vt:lpstr>
      <vt:lpstr>Bank and cash reconciliation</vt:lpstr>
      <vt:lpstr>Accumulated financial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Nondumiso Ngwenya</dc:creator>
  <cp:lastModifiedBy>Ashaal Roopchan</cp:lastModifiedBy>
  <cp:lastPrinted>2024-07-19T11:47:26Z</cp:lastPrinted>
  <dcterms:created xsi:type="dcterms:W3CDTF">2024-07-19T11:36:24Z</dcterms:created>
  <dcterms:modified xsi:type="dcterms:W3CDTF">2025-04-22T08:32:18Z</dcterms:modified>
</cp:coreProperties>
</file>